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 &amp; FIRE Plan" sheetId="1" state="visible" r:id="rId1"/>
    <sheet name="Year-by-Year Proj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0.0%"/>
    <numFmt numFmtId="166" formatCode="0 yrs"/>
  </numFmts>
  <fonts count="3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66573"/>
      <sz val="10"/>
    </font>
    <font>
      <name val="Calibri"/>
      <b val="1"/>
      <color rgb="00FFFFFF"/>
      <sz val="11"/>
    </font>
    <font>
      <name val="Calibri"/>
      <b val="1"/>
      <color rgb="001B3A5C"/>
      <sz val="9"/>
    </font>
    <font>
      <name val="Calibri"/>
      <b val="1"/>
      <color rgb="001B3A5C"/>
      <sz val="10"/>
    </font>
    <font>
      <name val="Calibri"/>
      <b val="1"/>
      <color rgb="0017202A"/>
      <sz val="11"/>
    </font>
    <font>
      <name val="Calibri"/>
      <i val="1"/>
      <color rgb="006C3483"/>
      <sz val="9"/>
    </font>
    <font>
      <name val="Calibri"/>
      <i val="1"/>
      <color rgb="00566573"/>
      <sz val="9"/>
    </font>
    <font>
      <name val="Calibri"/>
      <b val="1"/>
      <color rgb="002471A3"/>
      <sz val="11"/>
    </font>
    <font>
      <name val="Calibri"/>
      <b val="1"/>
      <color rgb="00FFFFFF"/>
      <sz val="9"/>
    </font>
    <font>
      <name val="Calibri"/>
      <color rgb="0017202A"/>
      <sz val="10"/>
    </font>
    <font>
      <name val="Calibri"/>
      <color rgb="002471A3"/>
      <sz val="9"/>
    </font>
    <font>
      <name val="Calibri"/>
      <color rgb="001B3A5C"/>
      <sz val="9"/>
    </font>
    <font>
      <name val="Calibri"/>
      <b val="1"/>
      <color rgb="00FFFFFF"/>
      <sz val="10"/>
    </font>
    <font>
      <name val="Calibri"/>
      <color rgb="002471A3"/>
      <sz val="10"/>
    </font>
    <font>
      <name val="Calibri"/>
      <b val="1"/>
      <color rgb="001A7A4A"/>
      <sz val="11"/>
    </font>
    <font>
      <name val="Calibri"/>
      <b val="1"/>
      <color rgb="001A7A4A"/>
      <sz val="14"/>
    </font>
    <font>
      <name val="Calibri"/>
      <b val="1"/>
      <color rgb="00D4AC0D"/>
      <sz val="11"/>
    </font>
    <font>
      <name val="Calibri"/>
      <b val="1"/>
      <color rgb="00D4AC0D"/>
      <sz val="14"/>
    </font>
    <font>
      <name val="Calibri"/>
      <b val="1"/>
      <color rgb="002471A3"/>
      <sz val="14"/>
    </font>
    <font>
      <name val="Calibri"/>
      <b val="1"/>
      <color rgb="001B3A5C"/>
      <sz val="11"/>
    </font>
    <font>
      <name val="Calibri"/>
      <b val="1"/>
      <color rgb="001B3A5C"/>
      <sz val="14"/>
    </font>
    <font>
      <name val="Calibri"/>
      <b val="1"/>
      <color rgb="00FFFFFF"/>
      <sz val="16"/>
    </font>
    <font>
      <name val="Calibri"/>
      <i val="1"/>
      <color rgb="001B3A5C"/>
      <sz val="10"/>
    </font>
    <font>
      <name val="Calibri"/>
      <color rgb="0017202A"/>
      <sz val="9"/>
    </font>
    <font>
      <name val="Calibri"/>
      <b val="1"/>
      <color rgb="0017202A"/>
      <sz val="9"/>
    </font>
    <font>
      <name val="Calibri"/>
      <color rgb="001A7A4A"/>
      <sz val="9"/>
    </font>
    <font>
      <name val="Calibri"/>
      <i val="1"/>
      <color rgb="00B03A2E"/>
      <sz val="9"/>
    </font>
    <font>
      <name val="Calibri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BF5FB"/>
      </patternFill>
    </fill>
    <fill>
      <patternFill patternType="solid">
        <fgColor rgb="002471A3"/>
      </patternFill>
    </fill>
    <fill>
      <patternFill patternType="solid">
        <fgColor rgb="00AED6F1"/>
      </patternFill>
    </fill>
    <fill>
      <patternFill patternType="solid">
        <fgColor rgb="00F2F3F4"/>
      </patternFill>
    </fill>
    <fill>
      <patternFill patternType="solid">
        <fgColor rgb="00FEF9E7"/>
      </patternFill>
    </fill>
    <fill>
      <patternFill patternType="solid">
        <fgColor rgb="00FFFFFF"/>
      </patternFill>
    </fill>
    <fill>
      <patternFill patternType="solid">
        <fgColor rgb="006C3483"/>
      </patternFill>
    </fill>
    <fill>
      <patternFill patternType="solid">
        <fgColor rgb="001A7A4A"/>
      </patternFill>
    </fill>
    <fill>
      <patternFill patternType="solid">
        <fgColor rgb="00D5F5E3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6" fillId="7" borderId="2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164" fontId="9" fillId="3" borderId="2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164" fontId="11" fillId="7" borderId="1" applyAlignment="1" pivotButton="0" quotePrefix="0" xfId="0">
      <alignment horizontal="right" vertical="center"/>
    </xf>
    <xf numFmtId="165" fontId="12" fillId="3" borderId="1" applyAlignment="1" pivotButton="0" quotePrefix="0" xfId="0">
      <alignment horizontal="center" vertical="center"/>
    </xf>
    <xf numFmtId="164" fontId="13" fillId="3" borderId="1" applyAlignment="1" pivotButton="0" quotePrefix="0" xfId="0">
      <alignment horizontal="right" vertical="center"/>
    </xf>
    <xf numFmtId="0" fontId="14" fillId="2" borderId="1" applyAlignment="1" pivotButton="0" quotePrefix="0" xfId="0">
      <alignment horizontal="left" vertical="center"/>
    </xf>
    <xf numFmtId="164" fontId="14" fillId="2" borderId="1" applyAlignment="1" pivotButton="0" quotePrefix="0" xfId="0">
      <alignment horizontal="right" vertical="center"/>
    </xf>
    <xf numFmtId="165" fontId="14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10" fillId="9" borderId="1" applyAlignment="1" pivotButton="0" quotePrefix="0" xfId="0">
      <alignment horizontal="left" vertical="center"/>
    </xf>
    <xf numFmtId="0" fontId="10" fillId="9" borderId="1" pivotButton="0" quotePrefix="0" xfId="0"/>
    <xf numFmtId="0" fontId="14" fillId="9" borderId="1" applyAlignment="1" pivotButton="0" quotePrefix="0" xfId="0">
      <alignment horizontal="left" vertical="center"/>
    </xf>
    <xf numFmtId="164" fontId="14" fillId="9" borderId="1" applyAlignment="1" pivotButton="0" quotePrefix="0" xfId="0">
      <alignment horizontal="right" vertical="center"/>
    </xf>
    <xf numFmtId="165" fontId="14" fillId="9" borderId="1" applyAlignment="1" pivotButton="0" quotePrefix="0" xfId="0">
      <alignment horizontal="right" vertical="center"/>
    </xf>
    <xf numFmtId="0" fontId="0" fillId="9" borderId="1" pivotButton="0" quotePrefix="0" xfId="0"/>
    <xf numFmtId="0" fontId="10" fillId="10" borderId="1" applyAlignment="1" pivotButton="0" quotePrefix="0" xfId="0">
      <alignment horizontal="left" vertical="center"/>
    </xf>
    <xf numFmtId="0" fontId="10" fillId="10" borderId="1" pivotButton="0" quotePrefix="0" xfId="0"/>
    <xf numFmtId="164" fontId="15" fillId="3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164" fontId="3" fillId="10" borderId="1" applyAlignment="1" pivotButton="0" quotePrefix="0" xfId="0">
      <alignment horizontal="right" vertical="center"/>
    </xf>
    <xf numFmtId="165" fontId="3" fillId="10" borderId="1" applyAlignment="1" pivotButton="0" quotePrefix="0" xfId="0">
      <alignment horizontal="right" vertical="center"/>
    </xf>
    <xf numFmtId="0" fontId="0" fillId="10" borderId="1" pivotButton="0" quotePrefix="0" xfId="0"/>
    <xf numFmtId="0" fontId="3" fillId="1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" fontId="6" fillId="7" borderId="2" applyAlignment="1" pivotButton="0" quotePrefix="0" xfId="0">
      <alignment horizontal="right" vertical="center"/>
    </xf>
    <xf numFmtId="10" fontId="6" fillId="7" borderId="2" applyAlignment="1" pivotButton="0" quotePrefix="0" xfId="0">
      <alignment horizontal="right" vertical="center"/>
    </xf>
    <xf numFmtId="166" fontId="9" fillId="3" borderId="2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16" fillId="11" borderId="2" applyAlignment="1" pivotButton="0" quotePrefix="0" xfId="0">
      <alignment horizontal="left" vertical="center"/>
    </xf>
    <xf numFmtId="164" fontId="17" fillId="11" borderId="2" applyAlignment="1" pivotButton="0" quotePrefix="0" xfId="0">
      <alignment horizontal="right" vertical="center"/>
    </xf>
    <xf numFmtId="0" fontId="18" fillId="7" borderId="2" applyAlignment="1" pivotButton="0" quotePrefix="0" xfId="0">
      <alignment horizontal="left" vertical="center"/>
    </xf>
    <xf numFmtId="165" fontId="19" fillId="7" borderId="2" applyAlignment="1" pivotButton="0" quotePrefix="0" xfId="0">
      <alignment horizontal="right" vertical="center"/>
    </xf>
    <xf numFmtId="0" fontId="9" fillId="3" borderId="2" applyAlignment="1" pivotButton="0" quotePrefix="0" xfId="0">
      <alignment horizontal="left" vertical="center"/>
    </xf>
    <xf numFmtId="164" fontId="20" fillId="3" borderId="2" applyAlignment="1" pivotButton="0" quotePrefix="0" xfId="0">
      <alignment horizontal="right" vertical="center"/>
    </xf>
    <xf numFmtId="0" fontId="21" fillId="3" borderId="2" applyAlignment="1" pivotButton="0" quotePrefix="0" xfId="0">
      <alignment horizontal="left" vertical="center"/>
    </xf>
    <xf numFmtId="49" fontId="22" fillId="3" borderId="2" applyAlignment="1" pivotButton="0" quotePrefix="0" xfId="0">
      <alignment horizontal="right" vertical="center"/>
    </xf>
    <xf numFmtId="0" fontId="23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2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1" fontId="25" fillId="8" borderId="1" applyAlignment="1" pivotButton="0" quotePrefix="0" xfId="0">
      <alignment horizontal="center" vertical="center"/>
    </xf>
    <xf numFmtId="1" fontId="26" fillId="8" borderId="1" applyAlignment="1" pivotButton="0" quotePrefix="0" xfId="0">
      <alignment horizontal="center" vertical="center"/>
    </xf>
    <xf numFmtId="164" fontId="25" fillId="8" borderId="1" applyAlignment="1" pivotButton="0" quotePrefix="0" xfId="0">
      <alignment horizontal="right" vertical="center"/>
    </xf>
    <xf numFmtId="164" fontId="27" fillId="8" borderId="1" applyAlignment="1" pivotButton="0" quotePrefix="0" xfId="0">
      <alignment horizontal="right" vertical="center"/>
    </xf>
    <xf numFmtId="164" fontId="12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164" fontId="28" fillId="8" borderId="1" applyAlignment="1" pivotButton="0" quotePrefix="0" xfId="0">
      <alignment horizontal="right" vertical="center"/>
    </xf>
    <xf numFmtId="9" fontId="26" fillId="8" borderId="1" applyAlignment="1" pivotButton="0" quotePrefix="0" xfId="0">
      <alignment horizontal="center" vertical="center"/>
    </xf>
    <xf numFmtId="1" fontId="25" fillId="6" borderId="1" applyAlignment="1" pivotButton="0" quotePrefix="0" xfId="0">
      <alignment horizontal="center" vertical="center"/>
    </xf>
    <xf numFmtId="1" fontId="26" fillId="6" borderId="1" applyAlignment="1" pivotButton="0" quotePrefix="0" xfId="0">
      <alignment horizontal="center" vertical="center"/>
    </xf>
    <xf numFmtId="164" fontId="25" fillId="6" borderId="1" applyAlignment="1" pivotButton="0" quotePrefix="0" xfId="0">
      <alignment horizontal="right" vertical="center"/>
    </xf>
    <xf numFmtId="164" fontId="27" fillId="6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4" fontId="28" fillId="6" borderId="1" applyAlignment="1" pivotButton="0" quotePrefix="0" xfId="0">
      <alignment horizontal="right" vertical="center"/>
    </xf>
    <xf numFmtId="9" fontId="26" fillId="6" borderId="1" applyAlignment="1" pivotButton="0" quotePrefix="0" xfId="0">
      <alignment horizontal="center" vertical="center"/>
    </xf>
    <xf numFmtId="0" fontId="29" fillId="2" borderId="1" applyAlignment="1" pivotButton="0" quotePrefix="0" xfId="0">
      <alignment horizontal="center" vertical="center"/>
    </xf>
    <xf numFmtId="164" fontId="19" fillId="7" borderId="2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b val="1"/>
        <color rgb="001A7A4A"/>
      </font>
      <fill>
        <patternFill patternType="solid">
          <fgColor rgb="00D5F5E3"/>
        </patternFill>
      </fill>
    </dxf>
    <dxf>
      <font>
        <b val="1"/>
        <color rgb="00B03A2E"/>
      </font>
      <fill>
        <patternFill patternType="solid">
          <fgColor rgb="00FADBD8"/>
        </patternFill>
      </fill>
    </dxf>
    <dxf>
      <fill>
        <patternFill patternType="solid">
          <f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Corpus Growth vs FIRE Target (25yr, ₹5L Salary)</a:t>
            </a:r>
          </a:p>
        </rich>
      </tx>
    </title>
    <plotArea>
      <lineChart>
        <grouping val="standard"/>
        <ser>
          <idx val="0"/>
          <order val="0"/>
          <tx>
            <strRef>
              <f>'Year-by-Year Projection'!G8</f>
            </strRef>
          </tx>
          <spPr>
            <a:ln w="25000">
              <a:solidFill>
                <a:srgbClr val="2471A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'Year-by-Year Projection'!$B$9:$B$43</f>
            </numRef>
          </cat>
          <val>
            <numRef>
              <f>'Year-by-Year Projection'!$G$9:$G$43</f>
            </numRef>
          </val>
        </ser>
        <ser>
          <idx val="1"/>
          <order val="1"/>
          <tx>
            <strRef>
              <f>'Year-by-Year Projection'!H8</f>
            </strRef>
          </tx>
          <spPr>
            <a:ln w="18000">
              <a:solidFill>
                <a:srgbClr val="B03A2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'Year-by-Year Projection'!$B$9:$B$43</f>
            </numRef>
          </cat>
          <val>
            <numRef>
              <f>'Year-by-Year Projection'!$H$9:$H$43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50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B2:F58"/>
  <sheetViews>
    <sheetView showGridLines="0" zoomScale="9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22" customWidth="1" min="4" max="4"/>
    <col width="22" customWidth="1" min="5" max="5"/>
    <col width="16" customWidth="1" min="6" max="6"/>
    <col width="2" customWidth="1" min="7" max="7"/>
  </cols>
  <sheetData>
    <row r="1" ht="8" customHeight="1"/>
    <row r="2" ht="24" customHeight="1">
      <c r="B2" s="1" t="inlineStr">
        <is>
          <t>FIRE PLAN — 25-Year-Old  ·  ₹5 Lakh Annual Salary  🇮🇳</t>
        </is>
      </c>
    </row>
    <row r="3" ht="22" customHeight="1">
      <c r="B3" s="2" t="inlineStr">
        <is>
          <t>Yellow cells = your inputs  ·  Blue cells = auto-calculated  ·  Change yellow cells and everything recalculates automatically</t>
        </is>
      </c>
    </row>
    <row r="4" ht="8" customHeight="1"/>
    <row r="5" ht="24" customHeight="1">
      <c r="B5" s="3" t="inlineStr">
        <is>
          <t>A.  YOUR INCOME BREAKDOWN</t>
        </is>
      </c>
    </row>
    <row r="6" ht="18" customHeight="1">
      <c r="B6" s="4" t="inlineStr">
        <is>
          <t>Item</t>
        </is>
      </c>
      <c r="C6" s="4" t="inlineStr">
        <is>
          <t>Amount (₹)</t>
        </is>
      </c>
      <c r="D6" s="4" t="inlineStr">
        <is>
          <t>Calculation</t>
        </is>
      </c>
      <c r="E6" s="4" t="inlineStr">
        <is>
          <t>Note</t>
        </is>
      </c>
      <c r="F6" s="4" t="inlineStr"/>
    </row>
    <row r="7" ht="20" customHeight="1">
      <c r="B7" s="5" t="inlineStr">
        <is>
          <t>Annual CTC (Cost to Company)</t>
        </is>
      </c>
      <c r="C7" s="6" t="n">
        <v>500000</v>
      </c>
      <c r="D7" s="7">
        <f>C7</f>
        <v/>
      </c>
      <c r="E7" s="8" t="inlineStr">
        <is>
          <t>Your total annual package</t>
        </is>
      </c>
      <c r="F7" s="9" t="n"/>
    </row>
    <row r="8" ht="20" customHeight="1">
      <c r="B8" s="5" t="inlineStr">
        <is>
          <t>Annual EPF — Employee 12%</t>
        </is>
      </c>
      <c r="C8" s="10">
        <f>C7*0.12/12*12</f>
        <v/>
      </c>
      <c r="D8" s="7">
        <f>C7×12%</f>
        <v/>
      </c>
      <c r="E8" s="8" t="inlineStr">
        <is>
          <t>Auto-deducted; goes to your EPF account</t>
        </is>
      </c>
      <c r="F8" s="9" t="n"/>
    </row>
    <row r="9" ht="20" customHeight="1">
      <c r="B9" s="5" t="inlineStr">
        <is>
          <t>Estimated Annual Tax (old regime)</t>
        </is>
      </c>
      <c r="C9" s="10">
        <f>MAX(C7-250000,0)*0.05</f>
        <v/>
      </c>
      <c r="D9" s="7" t="inlineStr">
        <is>
          <t>5% on ₹2.5L+</t>
        </is>
      </c>
      <c r="E9" s="8" t="inlineStr">
        <is>
          <t>₹0–2.5L nil, ₹2.5L–5L at 5%</t>
        </is>
      </c>
      <c r="F9" s="9" t="n"/>
    </row>
    <row r="10" ht="20" customHeight="1">
      <c r="B10" s="5" t="inlineStr">
        <is>
          <t>Annual Take-Home (Net)</t>
        </is>
      </c>
      <c r="C10" s="10">
        <f>C7-C8-C9</f>
        <v/>
      </c>
      <c r="D10" s="7">
        <f>CTC−EPF−Tax</f>
        <v/>
      </c>
      <c r="E10" s="8" t="inlineStr">
        <is>
          <t>Actual money hitting your bank</t>
        </is>
      </c>
      <c r="F10" s="9" t="n"/>
    </row>
    <row r="11" ht="20" customHeight="1">
      <c r="B11" s="5" t="inlineStr">
        <is>
          <t>Monthly Take-Home</t>
        </is>
      </c>
      <c r="C11" s="10">
        <f>C10/12</f>
        <v/>
      </c>
      <c r="D11" s="7">
        <f>C10÷12</f>
        <v/>
      </c>
      <c r="E11" s="8" t="inlineStr">
        <is>
          <t>What you work with each month</t>
        </is>
      </c>
      <c r="F11" s="9" t="n"/>
    </row>
    <row r="12" ht="8" customHeight="1"/>
    <row r="13" ht="24" customHeight="1">
      <c r="B13" s="3" t="inlineStr">
        <is>
          <t>B.  MONTHLY BUDGET ALLOCATION  (out of ₹ in-hand)</t>
        </is>
      </c>
    </row>
    <row r="14" ht="18" customHeight="1">
      <c r="B14" s="11" t="inlineStr">
        <is>
          <t xml:space="preserve">  FIXED EXPENSES  ·  Category</t>
        </is>
      </c>
      <c r="C14" s="12" t="inlineStr">
        <is>
          <t>Budget (₹/mo)</t>
        </is>
      </c>
      <c r="D14" s="12" t="inlineStr">
        <is>
          <t>% of Income</t>
        </is>
      </c>
      <c r="E14" s="12" t="inlineStr">
        <is>
          <t>Annual (₹)</t>
        </is>
      </c>
      <c r="F14" s="12" t="inlineStr">
        <is>
          <t>Remarks</t>
        </is>
      </c>
    </row>
    <row r="15" ht="19" customHeight="1">
      <c r="B15" s="13" t="inlineStr">
        <is>
          <t>Rent (shared / PG)</t>
        </is>
      </c>
      <c r="C15" s="14" t="n">
        <v>8000</v>
      </c>
      <c r="D15" s="15">
        <f>IF(C11&gt;0,C15/C11,0)</f>
        <v/>
      </c>
      <c r="E15" s="16">
        <f>C15*12</f>
        <v/>
      </c>
      <c r="F15" s="8" t="inlineStr">
        <is>
          <t>Shared accommodation saves big</t>
        </is>
      </c>
    </row>
    <row r="16" ht="19" customHeight="1">
      <c r="B16" s="13" t="inlineStr">
        <is>
          <t>Electricity, Water &amp; Gas</t>
        </is>
      </c>
      <c r="C16" s="14" t="n">
        <v>800</v>
      </c>
      <c r="D16" s="15">
        <f>IF(C11&gt;0,C16/C11,0)</f>
        <v/>
      </c>
      <c r="E16" s="16">
        <f>C16*12</f>
        <v/>
      </c>
      <c r="F16" s="8" t="inlineStr"/>
    </row>
    <row r="17" ht="19" customHeight="1">
      <c r="B17" s="13" t="inlineStr">
        <is>
          <t>Mobile + Internet</t>
        </is>
      </c>
      <c r="C17" s="14" t="n">
        <v>1000</v>
      </c>
      <c r="D17" s="15">
        <f>IF(C11&gt;0,C17/C11,0)</f>
        <v/>
      </c>
      <c r="E17" s="16">
        <f>C17*12</f>
        <v/>
      </c>
      <c r="F17" s="8" t="inlineStr">
        <is>
          <t>₹400 SIM + ₹600 broadband</t>
        </is>
      </c>
    </row>
    <row r="18" ht="19" customHeight="1">
      <c r="B18" s="13" t="inlineStr">
        <is>
          <t>Health Insurance Premium</t>
        </is>
      </c>
      <c r="C18" s="14" t="n">
        <v>1500</v>
      </c>
      <c r="D18" s="15">
        <f>IF(C11&gt;0,C18/C11,0)</f>
        <v/>
      </c>
      <c r="E18" s="16">
        <f>C18*12</f>
        <v/>
      </c>
      <c r="F18" s="8" t="inlineStr">
        <is>
          <t>₹5L cover ~ ₹1500/mo</t>
        </is>
      </c>
    </row>
    <row r="19" ht="19" customHeight="1">
      <c r="B19" s="13" t="inlineStr">
        <is>
          <t>Term Life Insurance</t>
        </is>
      </c>
      <c r="C19" s="14" t="n">
        <v>500</v>
      </c>
      <c r="D19" s="15">
        <f>IF(C11&gt;0,C19/C11,0)</f>
        <v/>
      </c>
      <c r="E19" s="16">
        <f>C19*12</f>
        <v/>
      </c>
      <c r="F19" s="8" t="inlineStr">
        <is>
          <t>₹1Cr cover ~ ₹6000/yr at 25</t>
        </is>
      </c>
    </row>
    <row r="20" ht="19" customHeight="1">
      <c r="B20" s="13" t="inlineStr">
        <is>
          <t>OTT / Subscriptions</t>
        </is>
      </c>
      <c r="C20" s="14" t="n">
        <v>500</v>
      </c>
      <c r="D20" s="15">
        <f>IF(C11&gt;0,C20/C11,0)</f>
        <v/>
      </c>
      <c r="E20" s="16">
        <f>C20*12</f>
        <v/>
      </c>
      <c r="F20" s="8" t="inlineStr">
        <is>
          <t>Netflix, Spotify etc.</t>
        </is>
      </c>
    </row>
    <row r="21" ht="20" customHeight="1">
      <c r="B21" s="17" t="inlineStr">
        <is>
          <t>TOTAL FIXED EXPENSES</t>
        </is>
      </c>
      <c r="C21" s="18">
        <f>SUM(C15:C20)</f>
        <v/>
      </c>
      <c r="D21" s="19">
        <f>IF(C11&gt;0,C21/C11,0)</f>
        <v/>
      </c>
      <c r="E21" s="18">
        <f>C21*12</f>
        <v/>
      </c>
      <c r="F21" s="20" t="n"/>
    </row>
    <row r="22" ht="18" customHeight="1">
      <c r="B22" s="21" t="inlineStr">
        <is>
          <t xml:space="preserve">  VARIABLE EXPENSES  ·  Category</t>
        </is>
      </c>
      <c r="C22" s="22" t="inlineStr">
        <is>
          <t>Budget (₹/mo)</t>
        </is>
      </c>
      <c r="D22" s="22" t="inlineStr">
        <is>
          <t>% of Income</t>
        </is>
      </c>
      <c r="E22" s="22" t="inlineStr">
        <is>
          <t>Annual (₹)</t>
        </is>
      </c>
      <c r="F22" s="22" t="inlineStr">
        <is>
          <t>Remarks</t>
        </is>
      </c>
    </row>
    <row r="23" ht="19" customHeight="1">
      <c r="B23" s="13" t="inlineStr">
        <is>
          <t>Groceries &amp; Kirana</t>
        </is>
      </c>
      <c r="C23" s="14" t="n">
        <v>3000</v>
      </c>
      <c r="D23" s="15">
        <f>IF(C11&gt;0,C23/C11,0)</f>
        <v/>
      </c>
      <c r="E23" s="16">
        <f>C23*12</f>
        <v/>
      </c>
      <c r="F23" s="8" t="inlineStr"/>
    </row>
    <row r="24" ht="19" customHeight="1">
      <c r="B24" s="13" t="inlineStr">
        <is>
          <t>Dining Out / Zomato / Swiggy</t>
        </is>
      </c>
      <c r="C24" s="14" t="n">
        <v>2000</v>
      </c>
      <c r="D24" s="15">
        <f>IF(C11&gt;0,C24/C11,0)</f>
        <v/>
      </c>
      <c r="E24" s="16">
        <f>C24*12</f>
        <v/>
      </c>
      <c r="F24" s="8" t="inlineStr">
        <is>
          <t>Limit this — huge savings lever</t>
        </is>
      </c>
    </row>
    <row r="25" ht="19" customHeight="1">
      <c r="B25" s="13" t="inlineStr">
        <is>
          <t>Petrol / Auto / Metro</t>
        </is>
      </c>
      <c r="C25" s="14" t="n">
        <v>2000</v>
      </c>
      <c r="D25" s="15">
        <f>IF(C11&gt;0,C25/C11,0)</f>
        <v/>
      </c>
      <c r="E25" s="16">
        <f>C25*12</f>
        <v/>
      </c>
      <c r="F25" s="8" t="inlineStr"/>
    </row>
    <row r="26" ht="19" customHeight="1">
      <c r="B26" s="13" t="inlineStr">
        <is>
          <t>Clothing &amp; Shopping</t>
        </is>
      </c>
      <c r="C26" s="14" t="n">
        <v>1500</v>
      </c>
      <c r="D26" s="15">
        <f>IF(C11&gt;0,C26/C11,0)</f>
        <v/>
      </c>
      <c r="E26" s="16">
        <f>C26*12</f>
        <v/>
      </c>
      <c r="F26" s="8" t="inlineStr"/>
    </row>
    <row r="27" ht="19" customHeight="1">
      <c r="B27" s="13" t="inlineStr">
        <is>
          <t>Medical / Pharmacy</t>
        </is>
      </c>
      <c r="C27" s="14" t="n">
        <v>1000</v>
      </c>
      <c r="D27" s="15">
        <f>IF(C11&gt;0,C27/C11,0)</f>
        <v/>
      </c>
      <c r="E27" s="16">
        <f>C27*12</f>
        <v/>
      </c>
      <c r="F27" s="8" t="inlineStr"/>
    </row>
    <row r="28" ht="19" customHeight="1">
      <c r="B28" s="13" t="inlineStr">
        <is>
          <t>Entertainment &amp; Outings</t>
        </is>
      </c>
      <c r="C28" s="14" t="n">
        <v>1500</v>
      </c>
      <c r="D28" s="15">
        <f>IF(C11&gt;0,C28/C11,0)</f>
        <v/>
      </c>
      <c r="E28" s="16">
        <f>C28*12</f>
        <v/>
      </c>
      <c r="F28" s="8" t="inlineStr"/>
    </row>
    <row r="29" ht="19" customHeight="1">
      <c r="B29" s="13" t="inlineStr">
        <is>
          <t>Miscellaneous</t>
        </is>
      </c>
      <c r="C29" s="14" t="n">
        <v>1200</v>
      </c>
      <c r="D29" s="15">
        <f>IF(C11&gt;0,C29/C11,0)</f>
        <v/>
      </c>
      <c r="E29" s="16">
        <f>C29*12</f>
        <v/>
      </c>
      <c r="F29" s="8" t="inlineStr"/>
    </row>
    <row r="30" ht="20" customHeight="1">
      <c r="B30" s="23" t="inlineStr">
        <is>
          <t>TOTAL VARIABLE EXPENSES</t>
        </is>
      </c>
      <c r="C30" s="24">
        <f>SUM(C23:C29)</f>
        <v/>
      </c>
      <c r="D30" s="25">
        <f>IF(C11&gt;0,C30/C11,0)</f>
        <v/>
      </c>
      <c r="E30" s="24">
        <f>C30*12</f>
        <v/>
      </c>
      <c r="F30" s="26" t="n"/>
    </row>
    <row r="31" ht="18" customHeight="1">
      <c r="B31" s="27" t="inlineStr">
        <is>
          <t xml:space="preserve">  SAVINGS &amp; INVESTMENTS ← FIRE ENGINE  ·  Category</t>
        </is>
      </c>
      <c r="C31" s="28" t="inlineStr">
        <is>
          <t>Budget (₹/mo)</t>
        </is>
      </c>
      <c r="D31" s="28" t="inlineStr">
        <is>
          <t>% of Income</t>
        </is>
      </c>
      <c r="E31" s="28" t="inlineStr">
        <is>
          <t>Annual (₹)</t>
        </is>
      </c>
      <c r="F31" s="28" t="inlineStr">
        <is>
          <t>Remarks</t>
        </is>
      </c>
    </row>
    <row r="32" ht="19" customHeight="1">
      <c r="B32" s="13" t="inlineStr">
        <is>
          <t>SIP — Equity Mutual Fund (Nifty 50)</t>
        </is>
      </c>
      <c r="C32" s="14" t="n">
        <v>5000</v>
      </c>
      <c r="D32" s="15">
        <f>IF(C11&gt;0,C32/C11,0)</f>
        <v/>
      </c>
      <c r="E32" s="16">
        <f>C32*12</f>
        <v/>
      </c>
      <c r="F32" s="8" t="inlineStr">
        <is>
          <t>Core FIRE investment</t>
        </is>
      </c>
    </row>
    <row r="33" ht="19" customHeight="1">
      <c r="B33" s="13" t="inlineStr">
        <is>
          <t>PPF Contribution</t>
        </is>
      </c>
      <c r="C33" s="14" t="n">
        <v>1000</v>
      </c>
      <c r="D33" s="15">
        <f>IF(C11&gt;0,C33/C11,0)</f>
        <v/>
      </c>
      <c r="E33" s="16">
        <f>C33*12</f>
        <v/>
      </c>
      <c r="F33" s="8" t="inlineStr">
        <is>
          <t>Tax-free, 7.1% guaranteed</t>
        </is>
      </c>
    </row>
    <row r="34" ht="19" customHeight="1">
      <c r="B34" s="13" t="inlineStr">
        <is>
          <t>Emergency Fund / Liquid FD</t>
        </is>
      </c>
      <c r="C34" s="14" t="n">
        <v>500</v>
      </c>
      <c r="D34" s="15">
        <f>IF(C11&gt;0,C34/C11,0)</f>
        <v/>
      </c>
      <c r="E34" s="16">
        <f>C34*12</f>
        <v/>
      </c>
      <c r="F34" s="8" t="inlineStr">
        <is>
          <t>Build 3–6 months expenses first</t>
        </is>
      </c>
    </row>
    <row r="35" ht="22" customHeight="1">
      <c r="B35" s="13" t="inlineStr">
        <is>
          <t>EPF — Employee Share (auto 12%)</t>
        </is>
      </c>
      <c r="C35" s="29">
        <f>C7*0.12/12</f>
        <v/>
      </c>
      <c r="D35" s="15">
        <f>IF(C11&gt;0,C35/C11,0)</f>
        <v/>
      </c>
      <c r="E35" s="16">
        <f>C35*12</f>
        <v/>
      </c>
      <c r="F35" s="30" t="inlineStr">
        <is>
          <t>Auto-deducted from salary; grows in your EPF account</t>
        </is>
      </c>
    </row>
    <row r="36" ht="8" customHeight="1">
      <c r="B36" s="31" t="inlineStr">
        <is>
          <t>TOTAL MONTHLY SAVINGS</t>
        </is>
      </c>
      <c r="C36" s="32">
        <f>SUM(C32:C35)</f>
        <v/>
      </c>
      <c r="D36" s="33">
        <f>IF(C11&gt;0,C36/C11,0)</f>
        <v/>
      </c>
      <c r="E36" s="32">
        <f>C36*12</f>
        <v/>
      </c>
      <c r="F36" s="34" t="n"/>
    </row>
    <row r="37" ht="24" customHeight="1">
      <c r="B37" s="35" t="inlineStr">
        <is>
          <t>C.  FIRE ASSUMPTIONS  (change yellow cells)</t>
        </is>
      </c>
      <c r="C37" s="36" t="n"/>
      <c r="D37" s="36" t="n"/>
      <c r="E37" s="36" t="n"/>
      <c r="F37" s="37" t="n"/>
    </row>
    <row r="38" ht="18" customHeight="1">
      <c r="B38" s="4" t="inlineStr">
        <is>
          <t>Assumption</t>
        </is>
      </c>
      <c r="C38" s="4" t="inlineStr">
        <is>
          <t>Value</t>
        </is>
      </c>
      <c r="D38" s="4" t="inlineStr">
        <is>
          <t>Formula / Logic</t>
        </is>
      </c>
      <c r="E38" s="4" t="inlineStr"/>
      <c r="F38" s="4" t="inlineStr">
        <is>
          <t>Note</t>
        </is>
      </c>
    </row>
    <row r="39" ht="20" customHeight="1">
      <c r="B39" s="5" t="inlineStr">
        <is>
          <t>Current Age</t>
        </is>
      </c>
      <c r="C39" s="38" t="n">
        <v>25</v>
      </c>
      <c r="D39" s="7" t="inlineStr"/>
      <c r="E39" s="9" t="n"/>
      <c r="F39" s="8" t="inlineStr">
        <is>
          <t>Edit this</t>
        </is>
      </c>
    </row>
    <row r="40" ht="20" customHeight="1">
      <c r="B40" s="5" t="inlineStr">
        <is>
          <t>Monthly Investment (SIP + EPF + PPF)</t>
        </is>
      </c>
      <c r="C40" s="10">
        <f>C36</f>
        <v/>
      </c>
      <c r="D40" s="7">
        <f>SUM of savings above</f>
        <v/>
      </c>
      <c r="E40" s="9" t="n"/>
      <c r="F40" s="8" t="inlineStr">
        <is>
          <t>All your investments combined</t>
        </is>
      </c>
    </row>
    <row r="41" ht="20" customHeight="1">
      <c r="B41" s="5" t="inlineStr">
        <is>
          <t>Current Portfolio Value</t>
        </is>
      </c>
      <c r="C41" s="6" t="n">
        <v>0</v>
      </c>
      <c r="D41" s="7" t="inlineStr"/>
      <c r="E41" s="9" t="n"/>
      <c r="F41" s="8" t="inlineStr">
        <is>
          <t>0 if just starting out</t>
        </is>
      </c>
    </row>
    <row r="42" ht="20" customHeight="1">
      <c r="B42" s="5" t="inlineStr">
        <is>
          <t>Expected Annual Return</t>
        </is>
      </c>
      <c r="C42" s="39" t="n">
        <v>0.12</v>
      </c>
      <c r="D42" s="7" t="inlineStr">
        <is>
          <t>Nifty 50 CAGR ~12%</t>
        </is>
      </c>
      <c r="E42" s="9" t="n"/>
      <c r="F42" s="8" t="inlineStr">
        <is>
          <t>Conservative = use 10%</t>
        </is>
      </c>
    </row>
    <row r="43" ht="20" customHeight="1">
      <c r="B43" s="5" t="inlineStr">
        <is>
          <t>Annual Salary Increment Rate</t>
        </is>
      </c>
      <c r="C43" s="39" t="n">
        <v>0.08</v>
      </c>
      <c r="D43" s="7" t="inlineStr">
        <is>
          <t>Industry avg 8–10%</t>
        </is>
      </c>
      <c r="E43" s="9" t="n"/>
      <c r="F43" s="8" t="inlineStr">
        <is>
          <t>Investment grows with salary</t>
        </is>
      </c>
    </row>
    <row r="44" ht="20" customHeight="1">
      <c r="B44" s="5" t="inlineStr">
        <is>
          <t>Inflation Rate (India CPI)</t>
        </is>
      </c>
      <c r="C44" s="39" t="n">
        <v>0.06</v>
      </c>
      <c r="D44" s="7" t="inlineStr">
        <is>
          <t>RBI target ~4-6%</t>
        </is>
      </c>
      <c r="E44" s="9" t="n"/>
      <c r="F44" s="8" t="inlineStr"/>
    </row>
    <row r="45" ht="20" customHeight="1">
      <c r="B45" s="5" t="inlineStr">
        <is>
          <t>Target Retirement Age</t>
        </is>
      </c>
      <c r="C45" s="38" t="n">
        <v>45</v>
      </c>
      <c r="D45" s="7" t="inlineStr"/>
      <c r="E45" s="9" t="n"/>
      <c r="F45" s="8" t="inlineStr">
        <is>
          <t>Change to 50/55 if needed</t>
        </is>
      </c>
    </row>
    <row r="46" ht="20" customHeight="1">
      <c r="B46" s="5" t="inlineStr">
        <is>
          <t>Monthly Expenses in Retirement (₹)</t>
        </is>
      </c>
      <c r="C46" s="10">
        <f>C30+C21-C16</f>
        <v/>
      </c>
      <c r="D46" s="7" t="inlineStr">
        <is>
          <t>Fixed+Var−rent</t>
        </is>
      </c>
      <c r="E46" s="9" t="n"/>
      <c r="F46" s="8" t="inlineStr">
        <is>
          <t>Assumes no rent in retirement (own house)</t>
        </is>
      </c>
    </row>
    <row r="47" ht="20" customHeight="1">
      <c r="B47" s="5" t="inlineStr">
        <is>
          <t>FIRE Number  (25× annual expenses)</t>
        </is>
      </c>
      <c r="C47" s="10">
        <f>C46*12*25</f>
        <v/>
      </c>
      <c r="D47" s="7">
        <f>C46×12×25</f>
        <v/>
      </c>
      <c r="E47" s="9" t="n"/>
      <c r="F47" s="8" t="inlineStr">
        <is>
          <t>25× = 4% SWR can sustain indefinitely</t>
        </is>
      </c>
    </row>
    <row r="48" ht="20" customHeight="1">
      <c r="B48" s="5" t="inlineStr">
        <is>
          <t>Years of Investing</t>
        </is>
      </c>
      <c r="C48" s="40">
        <f>C45-C39</f>
        <v/>
      </c>
      <c r="D48" s="7">
        <f>Ret. Age−Age</f>
        <v/>
      </c>
      <c r="E48" s="9" t="n"/>
      <c r="F48" s="8" t="inlineStr"/>
    </row>
    <row r="49" ht="8" customHeight="1"/>
    <row r="50" ht="24" customHeight="1">
      <c r="B50" s="41" t="inlineStr">
        <is>
          <t>D.  YOUR FIRE RESULTS</t>
        </is>
      </c>
    </row>
    <row r="51" ht="28" customHeight="1">
      <c r="B51" s="42" t="inlineStr">
        <is>
          <t>Monthly Take-Home Pay</t>
        </is>
      </c>
      <c r="D51" s="43">
        <f>C11</f>
        <v/>
      </c>
    </row>
    <row r="52" ht="28" customHeight="1">
      <c r="B52" s="42" t="inlineStr">
        <is>
          <t>Monthly Invested (Total)</t>
        </is>
      </c>
      <c r="D52" s="43">
        <f>C40</f>
        <v/>
      </c>
    </row>
    <row r="53" ht="28" customHeight="1">
      <c r="B53" s="44" t="inlineStr">
        <is>
          <t>Savings Rate</t>
        </is>
      </c>
      <c r="D53" s="45">
        <f>IF(C11&gt;0,C40/C11,0)</f>
        <v/>
      </c>
    </row>
    <row r="54" ht="28" customHeight="1">
      <c r="B54" s="46" t="inlineStr">
        <is>
          <t>FIRE Number Required</t>
        </is>
      </c>
      <c r="D54" s="47">
        <f>C47</f>
        <v/>
      </c>
    </row>
    <row r="55" ht="28" customHeight="1">
      <c r="B55" s="42" t="inlineStr">
        <is>
          <t>Corpus at Target Age (₹)</t>
        </is>
      </c>
      <c r="D55" s="43">
        <f>C41*(1+C42)^C48 + C40*12*((1+C42)^C48-1)/C42</f>
        <v/>
      </c>
    </row>
    <row r="56" ht="28" customHeight="1">
      <c r="B56" s="48" t="inlineStr">
        <is>
          <t>FIRE Achievable at Target Age?</t>
        </is>
      </c>
      <c r="D56" s="49">
        <f>IF(C55&gt;=C47,"✅ YES — FIRE at "&amp;C45&amp;" yrs!","⏳ Not yet — "&amp;ROUND((C47-C55)/1000,0)&amp;"K more needed")</f>
        <v/>
      </c>
    </row>
    <row r="57" ht="28" customHeight="1">
      <c r="B57" s="42" t="inlineStr">
        <is>
          <t>Monthly Income Post-FIRE (4% SWR)</t>
        </is>
      </c>
      <c r="D57" s="43">
        <f>C55*0.04/12</f>
        <v/>
      </c>
    </row>
    <row r="58" ht="28" customHeight="1">
      <c r="B58" s="46" t="inlineStr">
        <is>
          <t>Surplus vs Required Monthly Income</t>
        </is>
      </c>
      <c r="D58" s="47">
        <f>C57-C46</f>
        <v/>
      </c>
    </row>
  </sheetData>
  <mergeCells count="22">
    <mergeCell ref="B54:C54"/>
    <mergeCell ref="B3:F3"/>
    <mergeCell ref="B56:C56"/>
    <mergeCell ref="D53:F53"/>
    <mergeCell ref="B58:C58"/>
    <mergeCell ref="B52:C52"/>
    <mergeCell ref="B2:F2"/>
    <mergeCell ref="D56:F56"/>
    <mergeCell ref="D58:F58"/>
    <mergeCell ref="B57:C57"/>
    <mergeCell ref="B53:C53"/>
    <mergeCell ref="B13:F13"/>
    <mergeCell ref="D55:F55"/>
    <mergeCell ref="D51:F51"/>
    <mergeCell ref="D54:F54"/>
    <mergeCell ref="B37:F37"/>
    <mergeCell ref="B55:C55"/>
    <mergeCell ref="B51:C51"/>
    <mergeCell ref="B5:F5"/>
    <mergeCell ref="D52:F52"/>
    <mergeCell ref="B50:F50"/>
    <mergeCell ref="D57:F57"/>
  </mergeCells>
  <conditionalFormatting sqref="D53">
    <cfRule type="cellIs" priority="1" operator="greaterThanOrEqual" dxfId="0">
      <formula>0.3</formula>
    </cfRule>
    <cfRule type="cellIs" priority="2" operator="lessThan" dxfId="1">
      <formula>0.2</formula>
    </cfRule>
  </conditionalFormatting>
  <conditionalFormatting sqref="D55">
    <cfRule type="cellIs" priority="3" operator="greaterThanOrEqual" dxfId="0">
      <formula>=C47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7A4A"/>
    <outlinePr summaryBelow="1" summaryRight="1"/>
    <pageSetUpPr/>
  </sheetPr>
  <dimension ref="B2:I49"/>
  <sheetViews>
    <sheetView showGridLines="0" zoomScale="95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16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14" customWidth="1" min="9" max="9"/>
    <col width="2" customWidth="1" min="10" max="10"/>
  </cols>
  <sheetData>
    <row r="1" ht="8" customHeight="1"/>
    <row r="2" ht="24" customHeight="1">
      <c r="B2" s="50" t="inlineStr">
        <is>
          <t>YEAR-BY-YEAR PROJECTION  ·  25yr Old  ·  ₹5L Salary  ·  Retire at 45</t>
        </is>
      </c>
    </row>
    <row r="3" ht="22" customHeight="1">
      <c r="B3" s="51" t="inlineStr">
        <is>
          <t>Corpus formula: Opening Balance × (1+return) + Annual Investment  ·  All values in ₹  ·  Return = 12% p.a.  ·  Investment grows 8% p.a. with salary</t>
        </is>
      </c>
    </row>
    <row r="4" ht="8" customHeight="1"/>
    <row r="5" ht="20" customHeight="1">
      <c r="B5" s="52" t="inlineStr">
        <is>
          <t>HOW THE FORMULA WORKS:</t>
        </is>
      </c>
    </row>
    <row r="6" ht="22" customHeight="1">
      <c r="B6" s="53" t="inlineStr">
        <is>
          <t>Year-End Balance  =  (Opening Balance + Annual SIP) × (1 + Annual Return Rate)     ↑ Same as compound interest but you keep adding money each year</t>
        </is>
      </c>
    </row>
    <row r="7" ht="8" customHeight="1"/>
    <row r="8" ht="24" customHeight="1">
      <c r="B8" s="54" t="inlineStr">
        <is>
          <t>Yr</t>
        </is>
      </c>
      <c r="C8" s="54" t="inlineStr">
        <is>
          <t>Age</t>
        </is>
      </c>
      <c r="D8" s="54" t="inlineStr">
        <is>
          <t>Opening Balance (₹)</t>
        </is>
      </c>
      <c r="E8" s="54" t="inlineStr">
        <is>
          <t>Annual Investment (₹)</t>
        </is>
      </c>
      <c r="F8" s="54" t="inlineStr">
        <is>
          <t>Investment Return (₹)</t>
        </is>
      </c>
      <c r="G8" s="54" t="inlineStr">
        <is>
          <t>Year-End Corpus (₹)</t>
        </is>
      </c>
      <c r="H8" s="54" t="inlineStr">
        <is>
          <t>FIRE Target (₹)</t>
        </is>
      </c>
      <c r="I8" s="54" t="inlineStr">
        <is>
          <t>FI % Achieved</t>
        </is>
      </c>
    </row>
    <row r="9" ht="17" customHeight="1">
      <c r="B9" s="55" t="n">
        <v>1</v>
      </c>
      <c r="C9" s="56">
        <f>'Profile &amp; FIRE Plan'!C39+1</f>
        <v/>
      </c>
      <c r="D9" s="57">
        <f>'Profile &amp; FIRE Plan'!C41</f>
        <v/>
      </c>
      <c r="E9" s="58">
        <f>'Profile &amp; FIRE Plan'!C40*12*(1+'Profile &amp; FIRE Plan'!C43)^0</f>
        <v/>
      </c>
      <c r="F9" s="59">
        <f>(D9+E9/2)*'Profile &amp; FIRE Plan'!C42</f>
        <v/>
      </c>
      <c r="G9" s="60">
        <f>D9+E9+F9</f>
        <v/>
      </c>
      <c r="H9" s="61">
        <f>'Profile &amp; FIRE Plan'!C47</f>
        <v/>
      </c>
      <c r="I9" s="62">
        <f>IF(H9&gt;0,MIN(G9/H9,2),0)</f>
        <v/>
      </c>
    </row>
    <row r="10" ht="17" customHeight="1">
      <c r="B10" s="63" t="n">
        <v>2</v>
      </c>
      <c r="C10" s="64">
        <f>'Profile &amp; FIRE Plan'!C39+2</f>
        <v/>
      </c>
      <c r="D10" s="65">
        <f>G9</f>
        <v/>
      </c>
      <c r="E10" s="66">
        <f>'Profile &amp; FIRE Plan'!C40*12*(1+'Profile &amp; FIRE Plan'!C43)^1</f>
        <v/>
      </c>
      <c r="F10" s="67">
        <f>(D10+E10/2)*'Profile &amp; FIRE Plan'!C42</f>
        <v/>
      </c>
      <c r="G10" s="68">
        <f>D10+E10+F10</f>
        <v/>
      </c>
      <c r="H10" s="69">
        <f>'Profile &amp; FIRE Plan'!C47</f>
        <v/>
      </c>
      <c r="I10" s="70">
        <f>IF(H10&gt;0,MIN(G10/H10,2),0)</f>
        <v/>
      </c>
    </row>
    <row r="11" ht="17" customHeight="1">
      <c r="B11" s="55" t="n">
        <v>3</v>
      </c>
      <c r="C11" s="56">
        <f>'Profile &amp; FIRE Plan'!C39+3</f>
        <v/>
      </c>
      <c r="D11" s="57">
        <f>G10</f>
        <v/>
      </c>
      <c r="E11" s="58">
        <f>'Profile &amp; FIRE Plan'!C40*12*(1+'Profile &amp; FIRE Plan'!C43)^2</f>
        <v/>
      </c>
      <c r="F11" s="59">
        <f>(D11+E11/2)*'Profile &amp; FIRE Plan'!C42</f>
        <v/>
      </c>
      <c r="G11" s="60">
        <f>D11+E11+F11</f>
        <v/>
      </c>
      <c r="H11" s="61">
        <f>'Profile &amp; FIRE Plan'!C47</f>
        <v/>
      </c>
      <c r="I11" s="62">
        <f>IF(H11&gt;0,MIN(G11/H11,2),0)</f>
        <v/>
      </c>
    </row>
    <row r="12" ht="17" customHeight="1">
      <c r="B12" s="63" t="n">
        <v>4</v>
      </c>
      <c r="C12" s="64">
        <f>'Profile &amp; FIRE Plan'!C39+4</f>
        <v/>
      </c>
      <c r="D12" s="65">
        <f>G11</f>
        <v/>
      </c>
      <c r="E12" s="66">
        <f>'Profile &amp; FIRE Plan'!C40*12*(1+'Profile &amp; FIRE Plan'!C43)^3</f>
        <v/>
      </c>
      <c r="F12" s="67">
        <f>(D12+E12/2)*'Profile &amp; FIRE Plan'!C42</f>
        <v/>
      </c>
      <c r="G12" s="68">
        <f>D12+E12+F12</f>
        <v/>
      </c>
      <c r="H12" s="69">
        <f>'Profile &amp; FIRE Plan'!C47</f>
        <v/>
      </c>
      <c r="I12" s="70">
        <f>IF(H12&gt;0,MIN(G12/H12,2),0)</f>
        <v/>
      </c>
    </row>
    <row r="13" ht="17" customHeight="1">
      <c r="B13" s="55" t="n">
        <v>5</v>
      </c>
      <c r="C13" s="56">
        <f>'Profile &amp; FIRE Plan'!C39+5</f>
        <v/>
      </c>
      <c r="D13" s="57">
        <f>G12</f>
        <v/>
      </c>
      <c r="E13" s="58">
        <f>'Profile &amp; FIRE Plan'!C40*12*(1+'Profile &amp; FIRE Plan'!C43)^4</f>
        <v/>
      </c>
      <c r="F13" s="59">
        <f>(D13+E13/2)*'Profile &amp; FIRE Plan'!C42</f>
        <v/>
      </c>
      <c r="G13" s="60">
        <f>D13+E13+F13</f>
        <v/>
      </c>
      <c r="H13" s="61">
        <f>'Profile &amp; FIRE Plan'!C47</f>
        <v/>
      </c>
      <c r="I13" s="62">
        <f>IF(H13&gt;0,MIN(G13/H13,2),0)</f>
        <v/>
      </c>
    </row>
    <row r="14" ht="17" customHeight="1">
      <c r="B14" s="63" t="n">
        <v>6</v>
      </c>
      <c r="C14" s="64">
        <f>'Profile &amp; FIRE Plan'!C39+6</f>
        <v/>
      </c>
      <c r="D14" s="65">
        <f>G13</f>
        <v/>
      </c>
      <c r="E14" s="66">
        <f>'Profile &amp; FIRE Plan'!C40*12*(1+'Profile &amp; FIRE Plan'!C43)^5</f>
        <v/>
      </c>
      <c r="F14" s="67">
        <f>(D14+E14/2)*'Profile &amp; FIRE Plan'!C42</f>
        <v/>
      </c>
      <c r="G14" s="68">
        <f>D14+E14+F14</f>
        <v/>
      </c>
      <c r="H14" s="69">
        <f>'Profile &amp; FIRE Plan'!C47</f>
        <v/>
      </c>
      <c r="I14" s="70">
        <f>IF(H14&gt;0,MIN(G14/H14,2),0)</f>
        <v/>
      </c>
    </row>
    <row r="15" ht="17" customHeight="1">
      <c r="B15" s="55" t="n">
        <v>7</v>
      </c>
      <c r="C15" s="56">
        <f>'Profile &amp; FIRE Plan'!C39+7</f>
        <v/>
      </c>
      <c r="D15" s="57">
        <f>G14</f>
        <v/>
      </c>
      <c r="E15" s="58">
        <f>'Profile &amp; FIRE Plan'!C40*12*(1+'Profile &amp; FIRE Plan'!C43)^6</f>
        <v/>
      </c>
      <c r="F15" s="59">
        <f>(D15+E15/2)*'Profile &amp; FIRE Plan'!C42</f>
        <v/>
      </c>
      <c r="G15" s="60">
        <f>D15+E15+F15</f>
        <v/>
      </c>
      <c r="H15" s="61">
        <f>'Profile &amp; FIRE Plan'!C47</f>
        <v/>
      </c>
      <c r="I15" s="62">
        <f>IF(H15&gt;0,MIN(G15/H15,2),0)</f>
        <v/>
      </c>
    </row>
    <row r="16" ht="17" customHeight="1">
      <c r="B16" s="63" t="n">
        <v>8</v>
      </c>
      <c r="C16" s="64">
        <f>'Profile &amp; FIRE Plan'!C39+8</f>
        <v/>
      </c>
      <c r="D16" s="65">
        <f>G15</f>
        <v/>
      </c>
      <c r="E16" s="66">
        <f>'Profile &amp; FIRE Plan'!C40*12*(1+'Profile &amp; FIRE Plan'!C43)^7</f>
        <v/>
      </c>
      <c r="F16" s="67">
        <f>(D16+E16/2)*'Profile &amp; FIRE Plan'!C42</f>
        <v/>
      </c>
      <c r="G16" s="68">
        <f>D16+E16+F16</f>
        <v/>
      </c>
      <c r="H16" s="69">
        <f>'Profile &amp; FIRE Plan'!C47</f>
        <v/>
      </c>
      <c r="I16" s="70">
        <f>IF(H16&gt;0,MIN(G16/H16,2),0)</f>
        <v/>
      </c>
    </row>
    <row r="17" ht="17" customHeight="1">
      <c r="B17" s="55" t="n">
        <v>9</v>
      </c>
      <c r="C17" s="56">
        <f>'Profile &amp; FIRE Plan'!C39+9</f>
        <v/>
      </c>
      <c r="D17" s="57">
        <f>G16</f>
        <v/>
      </c>
      <c r="E17" s="58">
        <f>'Profile &amp; FIRE Plan'!C40*12*(1+'Profile &amp; FIRE Plan'!C43)^8</f>
        <v/>
      </c>
      <c r="F17" s="59">
        <f>(D17+E17/2)*'Profile &amp; FIRE Plan'!C42</f>
        <v/>
      </c>
      <c r="G17" s="60">
        <f>D17+E17+F17</f>
        <v/>
      </c>
      <c r="H17" s="61">
        <f>'Profile &amp; FIRE Plan'!C47</f>
        <v/>
      </c>
      <c r="I17" s="62">
        <f>IF(H17&gt;0,MIN(G17/H17,2),0)</f>
        <v/>
      </c>
    </row>
    <row r="18" ht="17" customHeight="1">
      <c r="B18" s="63" t="n">
        <v>10</v>
      </c>
      <c r="C18" s="64">
        <f>'Profile &amp; FIRE Plan'!C39+10</f>
        <v/>
      </c>
      <c r="D18" s="65">
        <f>G17</f>
        <v/>
      </c>
      <c r="E18" s="66">
        <f>'Profile &amp; FIRE Plan'!C40*12*(1+'Profile &amp; FIRE Plan'!C43)^9</f>
        <v/>
      </c>
      <c r="F18" s="67">
        <f>(D18+E18/2)*'Profile &amp; FIRE Plan'!C42</f>
        <v/>
      </c>
      <c r="G18" s="68">
        <f>D18+E18+F18</f>
        <v/>
      </c>
      <c r="H18" s="69">
        <f>'Profile &amp; FIRE Plan'!C47</f>
        <v/>
      </c>
      <c r="I18" s="70">
        <f>IF(H18&gt;0,MIN(G18/H18,2),0)</f>
        <v/>
      </c>
    </row>
    <row r="19" ht="17" customHeight="1">
      <c r="B19" s="55" t="n">
        <v>11</v>
      </c>
      <c r="C19" s="56">
        <f>'Profile &amp; FIRE Plan'!C39+11</f>
        <v/>
      </c>
      <c r="D19" s="57">
        <f>G18</f>
        <v/>
      </c>
      <c r="E19" s="58">
        <f>'Profile &amp; FIRE Plan'!C40*12*(1+'Profile &amp; FIRE Plan'!C43)^10</f>
        <v/>
      </c>
      <c r="F19" s="59">
        <f>(D19+E19/2)*'Profile &amp; FIRE Plan'!C42</f>
        <v/>
      </c>
      <c r="G19" s="60">
        <f>D19+E19+F19</f>
        <v/>
      </c>
      <c r="H19" s="61">
        <f>'Profile &amp; FIRE Plan'!C47</f>
        <v/>
      </c>
      <c r="I19" s="62">
        <f>IF(H19&gt;0,MIN(G19/H19,2),0)</f>
        <v/>
      </c>
    </row>
    <row r="20" ht="17" customHeight="1">
      <c r="B20" s="63" t="n">
        <v>12</v>
      </c>
      <c r="C20" s="64">
        <f>'Profile &amp; FIRE Plan'!C39+12</f>
        <v/>
      </c>
      <c r="D20" s="65">
        <f>G19</f>
        <v/>
      </c>
      <c r="E20" s="66">
        <f>'Profile &amp; FIRE Plan'!C40*12*(1+'Profile &amp; FIRE Plan'!C43)^11</f>
        <v/>
      </c>
      <c r="F20" s="67">
        <f>(D20+E20/2)*'Profile &amp; FIRE Plan'!C42</f>
        <v/>
      </c>
      <c r="G20" s="68">
        <f>D20+E20+F20</f>
        <v/>
      </c>
      <c r="H20" s="69">
        <f>'Profile &amp; FIRE Plan'!C47</f>
        <v/>
      </c>
      <c r="I20" s="70">
        <f>IF(H20&gt;0,MIN(G20/H20,2),0)</f>
        <v/>
      </c>
    </row>
    <row r="21" ht="17" customHeight="1">
      <c r="B21" s="55" t="n">
        <v>13</v>
      </c>
      <c r="C21" s="56">
        <f>'Profile &amp; FIRE Plan'!C39+13</f>
        <v/>
      </c>
      <c r="D21" s="57">
        <f>G20</f>
        <v/>
      </c>
      <c r="E21" s="58">
        <f>'Profile &amp; FIRE Plan'!C40*12*(1+'Profile &amp; FIRE Plan'!C43)^12</f>
        <v/>
      </c>
      <c r="F21" s="59">
        <f>(D21+E21/2)*'Profile &amp; FIRE Plan'!C42</f>
        <v/>
      </c>
      <c r="G21" s="60">
        <f>D21+E21+F21</f>
        <v/>
      </c>
      <c r="H21" s="61">
        <f>'Profile &amp; FIRE Plan'!C47</f>
        <v/>
      </c>
      <c r="I21" s="62">
        <f>IF(H21&gt;0,MIN(G21/H21,2),0)</f>
        <v/>
      </c>
    </row>
    <row r="22" ht="17" customHeight="1">
      <c r="B22" s="63" t="n">
        <v>14</v>
      </c>
      <c r="C22" s="64">
        <f>'Profile &amp; FIRE Plan'!C39+14</f>
        <v/>
      </c>
      <c r="D22" s="65">
        <f>G21</f>
        <v/>
      </c>
      <c r="E22" s="66">
        <f>'Profile &amp; FIRE Plan'!C40*12*(1+'Profile &amp; FIRE Plan'!C43)^13</f>
        <v/>
      </c>
      <c r="F22" s="67">
        <f>(D22+E22/2)*'Profile &amp; FIRE Plan'!C42</f>
        <v/>
      </c>
      <c r="G22" s="68">
        <f>D22+E22+F22</f>
        <v/>
      </c>
      <c r="H22" s="69">
        <f>'Profile &amp; FIRE Plan'!C47</f>
        <v/>
      </c>
      <c r="I22" s="70">
        <f>IF(H22&gt;0,MIN(G22/H22,2),0)</f>
        <v/>
      </c>
    </row>
    <row r="23" ht="17" customHeight="1">
      <c r="B23" s="55" t="n">
        <v>15</v>
      </c>
      <c r="C23" s="56">
        <f>'Profile &amp; FIRE Plan'!C39+15</f>
        <v/>
      </c>
      <c r="D23" s="57">
        <f>G22</f>
        <v/>
      </c>
      <c r="E23" s="58">
        <f>'Profile &amp; FIRE Plan'!C40*12*(1+'Profile &amp; FIRE Plan'!C43)^14</f>
        <v/>
      </c>
      <c r="F23" s="59">
        <f>(D23+E23/2)*'Profile &amp; FIRE Plan'!C42</f>
        <v/>
      </c>
      <c r="G23" s="60">
        <f>D23+E23+F23</f>
        <v/>
      </c>
      <c r="H23" s="61">
        <f>'Profile &amp; FIRE Plan'!C47</f>
        <v/>
      </c>
      <c r="I23" s="62">
        <f>IF(H23&gt;0,MIN(G23/H23,2),0)</f>
        <v/>
      </c>
    </row>
    <row r="24" ht="17" customHeight="1">
      <c r="B24" s="63" t="n">
        <v>16</v>
      </c>
      <c r="C24" s="64">
        <f>'Profile &amp; FIRE Plan'!C39+16</f>
        <v/>
      </c>
      <c r="D24" s="65">
        <f>G23</f>
        <v/>
      </c>
      <c r="E24" s="66">
        <f>'Profile &amp; FIRE Plan'!C40*12*(1+'Profile &amp; FIRE Plan'!C43)^15</f>
        <v/>
      </c>
      <c r="F24" s="67">
        <f>(D24+E24/2)*'Profile &amp; FIRE Plan'!C42</f>
        <v/>
      </c>
      <c r="G24" s="68">
        <f>D24+E24+F24</f>
        <v/>
      </c>
      <c r="H24" s="69">
        <f>'Profile &amp; FIRE Plan'!C47</f>
        <v/>
      </c>
      <c r="I24" s="70">
        <f>IF(H24&gt;0,MIN(G24/H24,2),0)</f>
        <v/>
      </c>
    </row>
    <row r="25" ht="17" customHeight="1">
      <c r="B25" s="55" t="n">
        <v>17</v>
      </c>
      <c r="C25" s="56">
        <f>'Profile &amp; FIRE Plan'!C39+17</f>
        <v/>
      </c>
      <c r="D25" s="57">
        <f>G24</f>
        <v/>
      </c>
      <c r="E25" s="58">
        <f>'Profile &amp; FIRE Plan'!C40*12*(1+'Profile &amp; FIRE Plan'!C43)^16</f>
        <v/>
      </c>
      <c r="F25" s="59">
        <f>(D25+E25/2)*'Profile &amp; FIRE Plan'!C42</f>
        <v/>
      </c>
      <c r="G25" s="60">
        <f>D25+E25+F25</f>
        <v/>
      </c>
      <c r="H25" s="61">
        <f>'Profile &amp; FIRE Plan'!C47</f>
        <v/>
      </c>
      <c r="I25" s="62">
        <f>IF(H25&gt;0,MIN(G25/H25,2),0)</f>
        <v/>
      </c>
    </row>
    <row r="26" ht="17" customHeight="1">
      <c r="B26" s="63" t="n">
        <v>18</v>
      </c>
      <c r="C26" s="64">
        <f>'Profile &amp; FIRE Plan'!C39+18</f>
        <v/>
      </c>
      <c r="D26" s="65">
        <f>G25</f>
        <v/>
      </c>
      <c r="E26" s="66">
        <f>'Profile &amp; FIRE Plan'!C40*12*(1+'Profile &amp; FIRE Plan'!C43)^17</f>
        <v/>
      </c>
      <c r="F26" s="67">
        <f>(D26+E26/2)*'Profile &amp; FIRE Plan'!C42</f>
        <v/>
      </c>
      <c r="G26" s="68">
        <f>D26+E26+F26</f>
        <v/>
      </c>
      <c r="H26" s="69">
        <f>'Profile &amp; FIRE Plan'!C47</f>
        <v/>
      </c>
      <c r="I26" s="70">
        <f>IF(H26&gt;0,MIN(G26/H26,2),0)</f>
        <v/>
      </c>
    </row>
    <row r="27" ht="17" customHeight="1">
      <c r="B27" s="55" t="n">
        <v>19</v>
      </c>
      <c r="C27" s="56">
        <f>'Profile &amp; FIRE Plan'!C39+19</f>
        <v/>
      </c>
      <c r="D27" s="57">
        <f>G26</f>
        <v/>
      </c>
      <c r="E27" s="58">
        <f>'Profile &amp; FIRE Plan'!C40*12*(1+'Profile &amp; FIRE Plan'!C43)^18</f>
        <v/>
      </c>
      <c r="F27" s="59">
        <f>(D27+E27/2)*'Profile &amp; FIRE Plan'!C42</f>
        <v/>
      </c>
      <c r="G27" s="60">
        <f>D27+E27+F27</f>
        <v/>
      </c>
      <c r="H27" s="61">
        <f>'Profile &amp; FIRE Plan'!C47</f>
        <v/>
      </c>
      <c r="I27" s="62">
        <f>IF(H27&gt;0,MIN(G27/H27,2),0)</f>
        <v/>
      </c>
    </row>
    <row r="28" ht="17" customHeight="1">
      <c r="B28" s="63" t="n">
        <v>20</v>
      </c>
      <c r="C28" s="64">
        <f>'Profile &amp; FIRE Plan'!C39+20</f>
        <v/>
      </c>
      <c r="D28" s="65">
        <f>G27</f>
        <v/>
      </c>
      <c r="E28" s="66">
        <f>'Profile &amp; FIRE Plan'!C40*12*(1+'Profile &amp; FIRE Plan'!C43)^19</f>
        <v/>
      </c>
      <c r="F28" s="67">
        <f>(D28+E28/2)*'Profile &amp; FIRE Plan'!C42</f>
        <v/>
      </c>
      <c r="G28" s="68">
        <f>D28+E28+F28</f>
        <v/>
      </c>
      <c r="H28" s="69">
        <f>'Profile &amp; FIRE Plan'!C47</f>
        <v/>
      </c>
      <c r="I28" s="70">
        <f>IF(H28&gt;0,MIN(G28/H28,2),0)</f>
        <v/>
      </c>
    </row>
    <row r="29" ht="17" customHeight="1">
      <c r="B29" s="55" t="n">
        <v>21</v>
      </c>
      <c r="C29" s="56">
        <f>'Profile &amp; FIRE Plan'!C39+21</f>
        <v/>
      </c>
      <c r="D29" s="57">
        <f>G28</f>
        <v/>
      </c>
      <c r="E29" s="58">
        <f>'Profile &amp; FIRE Plan'!C40*12*(1+'Profile &amp; FIRE Plan'!C43)^20</f>
        <v/>
      </c>
      <c r="F29" s="59">
        <f>(D29+E29/2)*'Profile &amp; FIRE Plan'!C42</f>
        <v/>
      </c>
      <c r="G29" s="60">
        <f>D29+E29+F29</f>
        <v/>
      </c>
      <c r="H29" s="61">
        <f>'Profile &amp; FIRE Plan'!C47</f>
        <v/>
      </c>
      <c r="I29" s="62">
        <f>IF(H29&gt;0,MIN(G29/H29,2),0)</f>
        <v/>
      </c>
    </row>
    <row r="30" ht="17" customHeight="1">
      <c r="B30" s="63" t="n">
        <v>22</v>
      </c>
      <c r="C30" s="64">
        <f>'Profile &amp; FIRE Plan'!C39+22</f>
        <v/>
      </c>
      <c r="D30" s="65">
        <f>G29</f>
        <v/>
      </c>
      <c r="E30" s="66">
        <f>'Profile &amp; FIRE Plan'!C40*12*(1+'Profile &amp; FIRE Plan'!C43)^21</f>
        <v/>
      </c>
      <c r="F30" s="67">
        <f>(D30+E30/2)*'Profile &amp; FIRE Plan'!C42</f>
        <v/>
      </c>
      <c r="G30" s="68">
        <f>D30+E30+F30</f>
        <v/>
      </c>
      <c r="H30" s="69">
        <f>'Profile &amp; FIRE Plan'!C47</f>
        <v/>
      </c>
      <c r="I30" s="70">
        <f>IF(H30&gt;0,MIN(G30/H30,2),0)</f>
        <v/>
      </c>
    </row>
    <row r="31" ht="17" customHeight="1">
      <c r="B31" s="55" t="n">
        <v>23</v>
      </c>
      <c r="C31" s="56">
        <f>'Profile &amp; FIRE Plan'!C39+23</f>
        <v/>
      </c>
      <c r="D31" s="57">
        <f>G30</f>
        <v/>
      </c>
      <c r="E31" s="58">
        <f>'Profile &amp; FIRE Plan'!C40*12*(1+'Profile &amp; FIRE Plan'!C43)^22</f>
        <v/>
      </c>
      <c r="F31" s="59">
        <f>(D31+E31/2)*'Profile &amp; FIRE Plan'!C42</f>
        <v/>
      </c>
      <c r="G31" s="60">
        <f>D31+E31+F31</f>
        <v/>
      </c>
      <c r="H31" s="61">
        <f>'Profile &amp; FIRE Plan'!C47</f>
        <v/>
      </c>
      <c r="I31" s="62">
        <f>IF(H31&gt;0,MIN(G31/H31,2),0)</f>
        <v/>
      </c>
    </row>
    <row r="32" ht="17" customHeight="1">
      <c r="B32" s="63" t="n">
        <v>24</v>
      </c>
      <c r="C32" s="64">
        <f>'Profile &amp; FIRE Plan'!C39+24</f>
        <v/>
      </c>
      <c r="D32" s="65">
        <f>G31</f>
        <v/>
      </c>
      <c r="E32" s="66">
        <f>'Profile &amp; FIRE Plan'!C40*12*(1+'Profile &amp; FIRE Plan'!C43)^23</f>
        <v/>
      </c>
      <c r="F32" s="67">
        <f>(D32+E32/2)*'Profile &amp; FIRE Plan'!C42</f>
        <v/>
      </c>
      <c r="G32" s="68">
        <f>D32+E32+F32</f>
        <v/>
      </c>
      <c r="H32" s="69">
        <f>'Profile &amp; FIRE Plan'!C47</f>
        <v/>
      </c>
      <c r="I32" s="70">
        <f>IF(H32&gt;0,MIN(G32/H32,2),0)</f>
        <v/>
      </c>
    </row>
    <row r="33" ht="17" customHeight="1">
      <c r="B33" s="55" t="n">
        <v>25</v>
      </c>
      <c r="C33" s="56">
        <f>'Profile &amp; FIRE Plan'!C39+25</f>
        <v/>
      </c>
      <c r="D33" s="57">
        <f>G32</f>
        <v/>
      </c>
      <c r="E33" s="58">
        <f>'Profile &amp; FIRE Plan'!C40*12*(1+'Profile &amp; FIRE Plan'!C43)^24</f>
        <v/>
      </c>
      <c r="F33" s="59">
        <f>(D33+E33/2)*'Profile &amp; FIRE Plan'!C42</f>
        <v/>
      </c>
      <c r="G33" s="60">
        <f>D33+E33+F33</f>
        <v/>
      </c>
      <c r="H33" s="61">
        <f>'Profile &amp; FIRE Plan'!C47</f>
        <v/>
      </c>
      <c r="I33" s="62">
        <f>IF(H33&gt;0,MIN(G33/H33,2),0)</f>
        <v/>
      </c>
    </row>
    <row r="34" ht="17" customHeight="1">
      <c r="B34" s="63" t="n">
        <v>26</v>
      </c>
      <c r="C34" s="64">
        <f>'Profile &amp; FIRE Plan'!C39+26</f>
        <v/>
      </c>
      <c r="D34" s="65">
        <f>G33</f>
        <v/>
      </c>
      <c r="E34" s="66">
        <f>'Profile &amp; FIRE Plan'!C40*12*(1+'Profile &amp; FIRE Plan'!C43)^25</f>
        <v/>
      </c>
      <c r="F34" s="67">
        <f>(D34+E34/2)*'Profile &amp; FIRE Plan'!C42</f>
        <v/>
      </c>
      <c r="G34" s="68">
        <f>D34+E34+F34</f>
        <v/>
      </c>
      <c r="H34" s="69">
        <f>'Profile &amp; FIRE Plan'!C47</f>
        <v/>
      </c>
      <c r="I34" s="70">
        <f>IF(H34&gt;0,MIN(G34/H34,2),0)</f>
        <v/>
      </c>
    </row>
    <row r="35" ht="17" customHeight="1">
      <c r="B35" s="55" t="n">
        <v>27</v>
      </c>
      <c r="C35" s="56">
        <f>'Profile &amp; FIRE Plan'!C39+27</f>
        <v/>
      </c>
      <c r="D35" s="57">
        <f>G34</f>
        <v/>
      </c>
      <c r="E35" s="58">
        <f>'Profile &amp; FIRE Plan'!C40*12*(1+'Profile &amp; FIRE Plan'!C43)^26</f>
        <v/>
      </c>
      <c r="F35" s="59">
        <f>(D35+E35/2)*'Profile &amp; FIRE Plan'!C42</f>
        <v/>
      </c>
      <c r="G35" s="60">
        <f>D35+E35+F35</f>
        <v/>
      </c>
      <c r="H35" s="61">
        <f>'Profile &amp; FIRE Plan'!C47</f>
        <v/>
      </c>
      <c r="I35" s="62">
        <f>IF(H35&gt;0,MIN(G35/H35,2),0)</f>
        <v/>
      </c>
    </row>
    <row r="36" ht="17" customHeight="1">
      <c r="B36" s="63" t="n">
        <v>28</v>
      </c>
      <c r="C36" s="64">
        <f>'Profile &amp; FIRE Plan'!C39+28</f>
        <v/>
      </c>
      <c r="D36" s="65">
        <f>G35</f>
        <v/>
      </c>
      <c r="E36" s="66">
        <f>'Profile &amp; FIRE Plan'!C40*12*(1+'Profile &amp; FIRE Plan'!C43)^27</f>
        <v/>
      </c>
      <c r="F36" s="67">
        <f>(D36+E36/2)*'Profile &amp; FIRE Plan'!C42</f>
        <v/>
      </c>
      <c r="G36" s="68">
        <f>D36+E36+F36</f>
        <v/>
      </c>
      <c r="H36" s="69">
        <f>'Profile &amp; FIRE Plan'!C47</f>
        <v/>
      </c>
      <c r="I36" s="70">
        <f>IF(H36&gt;0,MIN(G36/H36,2),0)</f>
        <v/>
      </c>
    </row>
    <row r="37" ht="17" customHeight="1">
      <c r="B37" s="55" t="n">
        <v>29</v>
      </c>
      <c r="C37" s="56">
        <f>'Profile &amp; FIRE Plan'!C39+29</f>
        <v/>
      </c>
      <c r="D37" s="57">
        <f>G36</f>
        <v/>
      </c>
      <c r="E37" s="58">
        <f>'Profile &amp; FIRE Plan'!C40*12*(1+'Profile &amp; FIRE Plan'!C43)^28</f>
        <v/>
      </c>
      <c r="F37" s="59">
        <f>(D37+E37/2)*'Profile &amp; FIRE Plan'!C42</f>
        <v/>
      </c>
      <c r="G37" s="60">
        <f>D37+E37+F37</f>
        <v/>
      </c>
      <c r="H37" s="61">
        <f>'Profile &amp; FIRE Plan'!C47</f>
        <v/>
      </c>
      <c r="I37" s="62">
        <f>IF(H37&gt;0,MIN(G37/H37,2),0)</f>
        <v/>
      </c>
    </row>
    <row r="38" ht="17" customHeight="1">
      <c r="B38" s="63" t="n">
        <v>30</v>
      </c>
      <c r="C38" s="64">
        <f>'Profile &amp; FIRE Plan'!C39+30</f>
        <v/>
      </c>
      <c r="D38" s="65">
        <f>G37</f>
        <v/>
      </c>
      <c r="E38" s="66">
        <f>'Profile &amp; FIRE Plan'!C40*12*(1+'Profile &amp; FIRE Plan'!C43)^29</f>
        <v/>
      </c>
      <c r="F38" s="67">
        <f>(D38+E38/2)*'Profile &amp; FIRE Plan'!C42</f>
        <v/>
      </c>
      <c r="G38" s="68">
        <f>D38+E38+F38</f>
        <v/>
      </c>
      <c r="H38" s="69">
        <f>'Profile &amp; FIRE Plan'!C47</f>
        <v/>
      </c>
      <c r="I38" s="70">
        <f>IF(H38&gt;0,MIN(G38/H38,2),0)</f>
        <v/>
      </c>
    </row>
    <row r="39" ht="17" customHeight="1">
      <c r="B39" s="55" t="n">
        <v>31</v>
      </c>
      <c r="C39" s="56">
        <f>'Profile &amp; FIRE Plan'!C39+31</f>
        <v/>
      </c>
      <c r="D39" s="57">
        <f>G38</f>
        <v/>
      </c>
      <c r="E39" s="58">
        <f>'Profile &amp; FIRE Plan'!C40*12*(1+'Profile &amp; FIRE Plan'!C43)^30</f>
        <v/>
      </c>
      <c r="F39" s="59">
        <f>(D39+E39/2)*'Profile &amp; FIRE Plan'!C42</f>
        <v/>
      </c>
      <c r="G39" s="60">
        <f>D39+E39+F39</f>
        <v/>
      </c>
      <c r="H39" s="61">
        <f>'Profile &amp; FIRE Plan'!C47</f>
        <v/>
      </c>
      <c r="I39" s="62">
        <f>IF(H39&gt;0,MIN(G39/H39,2),0)</f>
        <v/>
      </c>
    </row>
    <row r="40" ht="17" customHeight="1">
      <c r="B40" s="63" t="n">
        <v>32</v>
      </c>
      <c r="C40" s="64">
        <f>'Profile &amp; FIRE Plan'!C39+32</f>
        <v/>
      </c>
      <c r="D40" s="65">
        <f>G39</f>
        <v/>
      </c>
      <c r="E40" s="66">
        <f>'Profile &amp; FIRE Plan'!C40*12*(1+'Profile &amp; FIRE Plan'!C43)^31</f>
        <v/>
      </c>
      <c r="F40" s="67">
        <f>(D40+E40/2)*'Profile &amp; FIRE Plan'!C42</f>
        <v/>
      </c>
      <c r="G40" s="68">
        <f>D40+E40+F40</f>
        <v/>
      </c>
      <c r="H40" s="69">
        <f>'Profile &amp; FIRE Plan'!C47</f>
        <v/>
      </c>
      <c r="I40" s="70">
        <f>IF(H40&gt;0,MIN(G40/H40,2),0)</f>
        <v/>
      </c>
    </row>
    <row r="41" ht="17" customHeight="1">
      <c r="B41" s="55" t="n">
        <v>33</v>
      </c>
      <c r="C41" s="56">
        <f>'Profile &amp; FIRE Plan'!C39+33</f>
        <v/>
      </c>
      <c r="D41" s="57">
        <f>G40</f>
        <v/>
      </c>
      <c r="E41" s="58">
        <f>'Profile &amp; FIRE Plan'!C40*12*(1+'Profile &amp; FIRE Plan'!C43)^32</f>
        <v/>
      </c>
      <c r="F41" s="59">
        <f>(D41+E41/2)*'Profile &amp; FIRE Plan'!C42</f>
        <v/>
      </c>
      <c r="G41" s="60">
        <f>D41+E41+F41</f>
        <v/>
      </c>
      <c r="H41" s="61">
        <f>'Profile &amp; FIRE Plan'!C47</f>
        <v/>
      </c>
      <c r="I41" s="62">
        <f>IF(H41&gt;0,MIN(G41/H41,2),0)</f>
        <v/>
      </c>
    </row>
    <row r="42" ht="17" customHeight="1">
      <c r="B42" s="63" t="n">
        <v>34</v>
      </c>
      <c r="C42" s="64">
        <f>'Profile &amp; FIRE Plan'!C39+34</f>
        <v/>
      </c>
      <c r="D42" s="65">
        <f>G41</f>
        <v/>
      </c>
      <c r="E42" s="66">
        <f>'Profile &amp; FIRE Plan'!C40*12*(1+'Profile &amp; FIRE Plan'!C43)^33</f>
        <v/>
      </c>
      <c r="F42" s="67">
        <f>(D42+E42/2)*'Profile &amp; FIRE Plan'!C42</f>
        <v/>
      </c>
      <c r="G42" s="68">
        <f>D42+E42+F42</f>
        <v/>
      </c>
      <c r="H42" s="69">
        <f>'Profile &amp; FIRE Plan'!C47</f>
        <v/>
      </c>
      <c r="I42" s="70">
        <f>IF(H42&gt;0,MIN(G42/H42,2),0)</f>
        <v/>
      </c>
    </row>
    <row r="43" ht="17" customHeight="1">
      <c r="B43" s="55" t="n">
        <v>35</v>
      </c>
      <c r="C43" s="56">
        <f>'Profile &amp; FIRE Plan'!C39+35</f>
        <v/>
      </c>
      <c r="D43" s="57">
        <f>G42</f>
        <v/>
      </c>
      <c r="E43" s="58">
        <f>'Profile &amp; FIRE Plan'!C40*12*(1+'Profile &amp; FIRE Plan'!C43)^34</f>
        <v/>
      </c>
      <c r="F43" s="59">
        <f>(D43+E43/2)*'Profile &amp; FIRE Plan'!C42</f>
        <v/>
      </c>
      <c r="G43" s="60">
        <f>D43+E43+F43</f>
        <v/>
      </c>
      <c r="H43" s="61">
        <f>'Profile &amp; FIRE Plan'!C47</f>
        <v/>
      </c>
      <c r="I43" s="62">
        <f>IF(H43&gt;0,MIN(G43/H43,2),0)</f>
        <v/>
      </c>
    </row>
    <row r="45" ht="22" customHeight="1">
      <c r="B45" s="71" t="inlineStr">
        <is>
          <t>FINAL OUTCOME SUMMARY</t>
        </is>
      </c>
    </row>
    <row r="46" ht="26" customHeight="1">
      <c r="B46" s="42" t="inlineStr">
        <is>
          <t>Corpus at Target Retirement Age</t>
        </is>
      </c>
      <c r="F46" s="43">
        <f>IFERROR(INDEX(G9:G43,MATCH('Profile &amp; FIRE Plan'!C45,C9:C43,0)),0)</f>
        <v/>
      </c>
    </row>
    <row r="47" ht="26" customHeight="1">
      <c r="B47" s="44" t="inlineStr">
        <is>
          <t>FIRE Number (target corpus)</t>
        </is>
      </c>
      <c r="F47" s="72">
        <f>'Profile &amp; FIRE Plan'!C47</f>
        <v/>
      </c>
    </row>
    <row r="48" ht="26" customHeight="1">
      <c r="B48" s="46" t="inlineStr">
        <is>
          <t>Surplus / Shortfall</t>
        </is>
      </c>
      <c r="F48" s="47">
        <f>F46-F47</f>
        <v/>
      </c>
    </row>
    <row r="49" ht="26" customHeight="1">
      <c r="B49" s="42" t="inlineStr">
        <is>
          <t>Monthly Income in Retirement (4% SWR÷12)</t>
        </is>
      </c>
      <c r="F49" s="43">
        <f>IFERROR(INDEX(G9:G43,MATCH('Profile &amp; FIRE Plan'!C45,C9:C43,0))*0.04/12,0)</f>
        <v/>
      </c>
    </row>
  </sheetData>
  <mergeCells count="13">
    <mergeCell ref="B49:E49"/>
    <mergeCell ref="B6:I6"/>
    <mergeCell ref="B2:I2"/>
    <mergeCell ref="B48:E48"/>
    <mergeCell ref="F47:I47"/>
    <mergeCell ref="F48:I48"/>
    <mergeCell ref="B3:I3"/>
    <mergeCell ref="B5:I5"/>
    <mergeCell ref="B47:E47"/>
    <mergeCell ref="B45:I45"/>
    <mergeCell ref="B46:E46"/>
    <mergeCell ref="F49:I49"/>
    <mergeCell ref="F46:I46"/>
  </mergeCells>
  <conditionalFormatting sqref="G9:G43">
    <cfRule type="cellIs" priority="1" operator="greaterThanOrEqual" dxfId="0">
      <formula>='Profile &amp; FIRE Plan'!C47</formula>
    </cfRule>
  </conditionalFormatting>
  <conditionalFormatting sqref="I9:I43">
    <cfRule type="colorScale" priority="2">
      <colorScale>
        <cfvo type="num" val="0"/>
        <cfvo type="num" val="0.5"/>
        <cfvo type="num" val="1"/>
        <color rgb="00FADBD8"/>
        <color rgb="00FEF9E7"/>
        <color rgb="00D5F5E3"/>
      </colorScale>
    </cfRule>
  </conditionalFormatting>
  <conditionalFormatting sqref="B9:I9">
    <cfRule type="cellIs" priority="3" operator="greaterThanOrEqual" dxfId="2">
      <formula>=IF(I9&gt;=1,G9,"")</formula>
    </cfRule>
  </conditionalFormatting>
  <conditionalFormatting sqref="B10:I10">
    <cfRule type="cellIs" priority="4" operator="greaterThanOrEqual" dxfId="2">
      <formula>=IF(I10&gt;=1,G10,"")</formula>
    </cfRule>
  </conditionalFormatting>
  <conditionalFormatting sqref="B11:I11">
    <cfRule type="cellIs" priority="5" operator="greaterThanOrEqual" dxfId="2">
      <formula>=IF(I11&gt;=1,G11,"")</formula>
    </cfRule>
  </conditionalFormatting>
  <conditionalFormatting sqref="B12:I12">
    <cfRule type="cellIs" priority="6" operator="greaterThanOrEqual" dxfId="2">
      <formula>=IF(I12&gt;=1,G12,"")</formula>
    </cfRule>
  </conditionalFormatting>
  <conditionalFormatting sqref="B13:I13">
    <cfRule type="cellIs" priority="7" operator="greaterThanOrEqual" dxfId="2">
      <formula>=IF(I13&gt;=1,G13,"")</formula>
    </cfRule>
  </conditionalFormatting>
  <conditionalFormatting sqref="B14:I14">
    <cfRule type="cellIs" priority="8" operator="greaterThanOrEqual" dxfId="2">
      <formula>=IF(I14&gt;=1,G14,"")</formula>
    </cfRule>
  </conditionalFormatting>
  <conditionalFormatting sqref="B15:I15">
    <cfRule type="cellIs" priority="9" operator="greaterThanOrEqual" dxfId="2">
      <formula>=IF(I15&gt;=1,G15,"")</formula>
    </cfRule>
  </conditionalFormatting>
  <conditionalFormatting sqref="B16:I16">
    <cfRule type="cellIs" priority="10" operator="greaterThanOrEqual" dxfId="2">
      <formula>=IF(I16&gt;=1,G16,"")</formula>
    </cfRule>
  </conditionalFormatting>
  <conditionalFormatting sqref="B17:I17">
    <cfRule type="cellIs" priority="11" operator="greaterThanOrEqual" dxfId="2">
      <formula>=IF(I17&gt;=1,G17,"")</formula>
    </cfRule>
  </conditionalFormatting>
  <conditionalFormatting sqref="B18:I18">
    <cfRule type="cellIs" priority="12" operator="greaterThanOrEqual" dxfId="2">
      <formula>=IF(I18&gt;=1,G18,"")</formula>
    </cfRule>
  </conditionalFormatting>
  <conditionalFormatting sqref="B19:I19">
    <cfRule type="cellIs" priority="13" operator="greaterThanOrEqual" dxfId="2">
      <formula>=IF(I19&gt;=1,G19,"")</formula>
    </cfRule>
  </conditionalFormatting>
  <conditionalFormatting sqref="B20:I20">
    <cfRule type="cellIs" priority="14" operator="greaterThanOrEqual" dxfId="2">
      <formula>=IF(I20&gt;=1,G20,"")</formula>
    </cfRule>
  </conditionalFormatting>
  <conditionalFormatting sqref="B21:I21">
    <cfRule type="cellIs" priority="15" operator="greaterThanOrEqual" dxfId="2">
      <formula>=IF(I21&gt;=1,G21,"")</formula>
    </cfRule>
  </conditionalFormatting>
  <conditionalFormatting sqref="B22:I22">
    <cfRule type="cellIs" priority="16" operator="greaterThanOrEqual" dxfId="2">
      <formula>=IF(I22&gt;=1,G22,"")</formula>
    </cfRule>
  </conditionalFormatting>
  <conditionalFormatting sqref="B23:I23">
    <cfRule type="cellIs" priority="17" operator="greaterThanOrEqual" dxfId="2">
      <formula>=IF(I23&gt;=1,G23,"")</formula>
    </cfRule>
  </conditionalFormatting>
  <conditionalFormatting sqref="B24:I24">
    <cfRule type="cellIs" priority="18" operator="greaterThanOrEqual" dxfId="2">
      <formula>=IF(I24&gt;=1,G24,"")</formula>
    </cfRule>
  </conditionalFormatting>
  <conditionalFormatting sqref="B25:I25">
    <cfRule type="cellIs" priority="19" operator="greaterThanOrEqual" dxfId="2">
      <formula>=IF(I25&gt;=1,G25,"")</formula>
    </cfRule>
  </conditionalFormatting>
  <conditionalFormatting sqref="B26:I26">
    <cfRule type="cellIs" priority="20" operator="greaterThanOrEqual" dxfId="2">
      <formula>=IF(I26&gt;=1,G26,"")</formula>
    </cfRule>
  </conditionalFormatting>
  <conditionalFormatting sqref="B27:I27">
    <cfRule type="cellIs" priority="21" operator="greaterThanOrEqual" dxfId="2">
      <formula>=IF(I27&gt;=1,G27,"")</formula>
    </cfRule>
  </conditionalFormatting>
  <conditionalFormatting sqref="B28:I28">
    <cfRule type="cellIs" priority="22" operator="greaterThanOrEqual" dxfId="2">
      <formula>=IF(I28&gt;=1,G28,"")</formula>
    </cfRule>
  </conditionalFormatting>
  <conditionalFormatting sqref="B29:I29">
    <cfRule type="cellIs" priority="23" operator="greaterThanOrEqual" dxfId="2">
      <formula>=IF(I29&gt;=1,G29,"")</formula>
    </cfRule>
  </conditionalFormatting>
  <conditionalFormatting sqref="B30:I30">
    <cfRule type="cellIs" priority="24" operator="greaterThanOrEqual" dxfId="2">
      <formula>=IF(I30&gt;=1,G30,"")</formula>
    </cfRule>
  </conditionalFormatting>
  <conditionalFormatting sqref="B31:I31">
    <cfRule type="cellIs" priority="25" operator="greaterThanOrEqual" dxfId="2">
      <formula>=IF(I31&gt;=1,G31,"")</formula>
    </cfRule>
  </conditionalFormatting>
  <conditionalFormatting sqref="B32:I32">
    <cfRule type="cellIs" priority="26" operator="greaterThanOrEqual" dxfId="2">
      <formula>=IF(I32&gt;=1,G32,"")</formula>
    </cfRule>
  </conditionalFormatting>
  <conditionalFormatting sqref="B33:I33">
    <cfRule type="cellIs" priority="27" operator="greaterThanOrEqual" dxfId="2">
      <formula>=IF(I33&gt;=1,G33,"")</formula>
    </cfRule>
  </conditionalFormatting>
  <conditionalFormatting sqref="B34:I34">
    <cfRule type="cellIs" priority="28" operator="greaterThanOrEqual" dxfId="2">
      <formula>=IF(I34&gt;=1,G34,"")</formula>
    </cfRule>
  </conditionalFormatting>
  <conditionalFormatting sqref="B35:I35">
    <cfRule type="cellIs" priority="29" operator="greaterThanOrEqual" dxfId="2">
      <formula>=IF(I35&gt;=1,G35,"")</formula>
    </cfRule>
  </conditionalFormatting>
  <conditionalFormatting sqref="B36:I36">
    <cfRule type="cellIs" priority="30" operator="greaterThanOrEqual" dxfId="2">
      <formula>=IF(I36&gt;=1,G36,"")</formula>
    </cfRule>
  </conditionalFormatting>
  <conditionalFormatting sqref="B37:I37">
    <cfRule type="cellIs" priority="31" operator="greaterThanOrEqual" dxfId="2">
      <formula>=IF(I37&gt;=1,G37,"")</formula>
    </cfRule>
  </conditionalFormatting>
  <conditionalFormatting sqref="B38:I38">
    <cfRule type="cellIs" priority="32" operator="greaterThanOrEqual" dxfId="2">
      <formula>=IF(I38&gt;=1,G38,"")</formula>
    </cfRule>
  </conditionalFormatting>
  <conditionalFormatting sqref="B39:I39">
    <cfRule type="cellIs" priority="33" operator="greaterThanOrEqual" dxfId="2">
      <formula>=IF(I39&gt;=1,G39,"")</formula>
    </cfRule>
  </conditionalFormatting>
  <conditionalFormatting sqref="B40:I40">
    <cfRule type="cellIs" priority="34" operator="greaterThanOrEqual" dxfId="2">
      <formula>=IF(I40&gt;=1,G40,"")</formula>
    </cfRule>
  </conditionalFormatting>
  <conditionalFormatting sqref="B41:I41">
    <cfRule type="cellIs" priority="35" operator="greaterThanOrEqual" dxfId="2">
      <formula>=IF(I41&gt;=1,G41,"")</formula>
    </cfRule>
  </conditionalFormatting>
  <conditionalFormatting sqref="B42:I42">
    <cfRule type="cellIs" priority="36" operator="greaterThanOrEqual" dxfId="2">
      <formula>=IF(I42&gt;=1,G42,"")</formula>
    </cfRule>
  </conditionalFormatting>
  <conditionalFormatting sqref="B43:I43">
    <cfRule type="cellIs" priority="37" operator="greaterThanOrEqual" dxfId="2">
      <formula>=IF(I43&gt;=1,G43,"")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2026-06-26T00:12:51Z</dcterms:created>
  <dcterms:modified xsi:type="dcterms:W3CDTF">2026-06-26T00:12:51Z</dcterms:modified>
</cp:coreProperties>
</file>
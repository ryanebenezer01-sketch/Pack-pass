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et Worth" sheetId="2" state="visible" r:id="rId2"/>
    <sheet name="Budget &amp; Savings" sheetId="3" state="visible" r:id="rId3"/>
    <sheet name="Investment Growth" sheetId="4" state="visible" r:id="rId4"/>
    <sheet name="SWR Calcul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0.0"/>
    <numFmt numFmtId="167" formatCode="$#,##0.00"/>
    <numFmt numFmtId="168" formatCode="0.0&quot;%&quot;"/>
    <numFmt numFmtId="169" formatCode="0.0 &quot;yrs&quot;"/>
  </numFmts>
  <fonts count="5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B3A5C"/>
      <sz val="15"/>
    </font>
    <font>
      <name val="Calibri"/>
      <b val="1"/>
      <color rgb="001A7A4A"/>
      <sz val="15"/>
    </font>
    <font>
      <name val="Calibri"/>
      <b val="1"/>
      <color rgb="002471A3"/>
      <sz val="15"/>
    </font>
    <font>
      <name val="Calibri"/>
      <b val="1"/>
      <color rgb="006C3483"/>
      <sz val="15"/>
    </font>
    <font>
      <name val="Calibri"/>
      <b val="1"/>
      <color rgb="00D4AC0D"/>
      <sz val="15"/>
    </font>
    <font>
      <name val="Calibri"/>
      <b val="1"/>
      <color rgb="001B3A5C"/>
      <sz val="9"/>
    </font>
    <font>
      <name val="Calibri"/>
      <b val="1"/>
      <color rgb="001B3A5C"/>
      <sz val="10"/>
    </font>
    <font>
      <name val="Calibri"/>
      <color rgb="0017202A"/>
      <sz val="10"/>
    </font>
    <font>
      <name val="Calibri"/>
      <color rgb="002471A3"/>
      <sz val="10"/>
    </font>
    <font>
      <name val="Calibri"/>
      <b val="1"/>
      <color rgb="00D4AC0D"/>
      <sz val="10"/>
    </font>
    <font>
      <name val="Calibri"/>
      <b val="1"/>
      <color rgb="00FFFFFF"/>
      <sz val="10"/>
    </font>
    <font>
      <name val="Calibri"/>
      <b val="1"/>
      <color rgb="001A7A4A"/>
      <sz val="10"/>
    </font>
    <font>
      <name val="Calibri"/>
      <b val="1"/>
      <color rgb="00FFFFFF"/>
      <sz val="18"/>
    </font>
    <font>
      <name val="Calibri"/>
      <i val="1"/>
      <color rgb="00566573"/>
      <sz val="10"/>
    </font>
    <font>
      <name val="Calibri"/>
      <b val="1"/>
      <color rgb="00FFFFFF"/>
      <sz val="12"/>
    </font>
    <font>
      <name val="Calibri"/>
      <color rgb="001B3A5C"/>
      <sz val="10"/>
    </font>
    <font>
      <name val="Calibri"/>
      <color rgb="001A7A4A"/>
      <sz val="10"/>
    </font>
    <font>
      <name val="Calibri"/>
      <color rgb="00B03A2E"/>
      <sz val="10"/>
    </font>
    <font>
      <name val="Calibri"/>
      <b val="1"/>
      <color rgb="001A7A4A"/>
      <sz val="14"/>
    </font>
    <font>
      <name val="Calibri"/>
      <b val="1"/>
      <color rgb="00B03A2E"/>
      <sz val="10"/>
    </font>
    <font>
      <name val="Calibri"/>
      <b val="1"/>
      <color rgb="00B03A2E"/>
      <sz val="14"/>
    </font>
    <font>
      <name val="Calibri"/>
      <b val="1"/>
      <color rgb="001B3A5C"/>
      <sz val="14"/>
    </font>
    <font>
      <name val="Calibri"/>
      <b val="1"/>
      <color rgb="00D4AC0D"/>
      <sz val="14"/>
    </font>
    <font>
      <name val="Calibri"/>
      <b val="1"/>
      <color rgb="002471A3"/>
      <sz val="10"/>
    </font>
    <font>
      <name val="Calibri"/>
      <b val="1"/>
      <color rgb="002471A3"/>
      <sz val="14"/>
    </font>
    <font>
      <name val="Calibri"/>
      <b val="1"/>
      <color rgb="001A7A4A"/>
      <sz val="11"/>
    </font>
    <font>
      <name val="Calibri"/>
      <b val="1"/>
      <color rgb="00B03A2E"/>
      <sz val="11"/>
    </font>
    <font>
      <name val="Calibri"/>
      <b val="1"/>
      <color rgb="00D4AC0D"/>
      <sz val="11"/>
    </font>
    <font>
      <name val="Calibri"/>
      <b val="1"/>
      <color rgb="002471A3"/>
      <sz val="11"/>
    </font>
    <font>
      <name val="Calibri"/>
      <b val="1"/>
      <color rgb="001B3A5C"/>
      <sz val="11"/>
    </font>
    <font>
      <name val="Calibri"/>
      <b val="1"/>
      <color rgb="00566573"/>
      <sz val="10"/>
    </font>
    <font>
      <name val="Calibri"/>
      <b val="1"/>
      <color rgb="00566573"/>
      <sz val="11"/>
    </font>
    <font>
      <name val="Calibri"/>
      <b val="1"/>
      <color rgb="00566573"/>
      <sz val="14"/>
    </font>
    <font>
      <name val="Calibri"/>
      <b val="1"/>
      <color rgb="0017202A"/>
      <sz val="11"/>
    </font>
    <font>
      <name val="Calibri"/>
      <i val="1"/>
      <color rgb="00566573"/>
      <sz val="9"/>
    </font>
    <font>
      <name val="Calibri"/>
      <b val="1"/>
      <color rgb="0017202A"/>
      <sz val="9"/>
    </font>
    <font>
      <name val="Calibri"/>
      <color rgb="0017202A"/>
      <sz val="9"/>
    </font>
    <font>
      <name val="Calibri"/>
      <color rgb="001A7A4A"/>
      <sz val="9"/>
    </font>
    <font>
      <name val="Calibri"/>
      <i val="1"/>
      <color rgb="00B03A2E"/>
      <sz val="9"/>
    </font>
    <font>
      <name val="Calibri"/>
      <b val="1"/>
      <color rgb="00FFFFFF"/>
      <sz val="15"/>
    </font>
    <font>
      <name val="Calibri"/>
      <b val="1"/>
      <color rgb="0017202A"/>
      <sz val="10"/>
    </font>
    <font>
      <name val="Calibri"/>
      <b val="1"/>
      <color rgb="005DADE2"/>
      <sz val="10"/>
    </font>
    <font>
      <name val="Calibri"/>
      <b val="1"/>
      <color rgb="006C3483"/>
      <sz val="10"/>
    </font>
    <font>
      <name val="Calibri"/>
      <b val="1"/>
      <color rgb="001A7A4A"/>
      <sz val="13"/>
    </font>
    <font>
      <name val="Calibri"/>
      <b val="1"/>
      <color rgb="00D4AC0D"/>
      <sz val="13"/>
    </font>
    <font>
      <name val="Calibri"/>
      <b val="1"/>
      <color rgb="002471A3"/>
      <sz val="13"/>
    </font>
    <font>
      <name val="Calibri"/>
      <b val="1"/>
      <color rgb="001B3A5C"/>
      <sz val="13"/>
    </font>
    <font>
      <name val="Calibri"/>
      <b val="1"/>
      <color rgb="00566573"/>
      <sz val="13"/>
    </font>
    <font>
      <name val="Calibri"/>
      <color rgb="00B03A2E"/>
      <sz val="9"/>
    </font>
  </fonts>
  <fills count="1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471A3"/>
      </patternFill>
    </fill>
    <fill>
      <patternFill patternType="solid">
        <fgColor rgb="00FFFFFF"/>
      </patternFill>
    </fill>
    <fill>
      <patternFill patternType="solid">
        <fgColor rgb="001A7A4A"/>
      </patternFill>
    </fill>
    <fill>
      <patternFill patternType="solid">
        <fgColor rgb="006C3483"/>
      </patternFill>
    </fill>
    <fill>
      <patternFill patternType="solid">
        <fgColor rgb="00D4AC0D"/>
      </patternFill>
    </fill>
    <fill>
      <patternFill patternType="solid">
        <fgColor rgb="00AED6F1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566573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B03A2E"/>
      </patternFill>
    </fill>
    <fill>
      <patternFill patternType="solid">
        <fgColor rgb="005DADE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166" fontId="7" fillId="4" borderId="2" applyAlignment="1" pivotButton="0" quotePrefix="0" xfId="0">
      <alignment horizontal="center" vertical="center"/>
    </xf>
    <xf numFmtId="164" fontId="8" fillId="4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right" vertical="center"/>
    </xf>
    <xf numFmtId="164" fontId="12" fillId="10" borderId="1" applyAlignment="1" pivotButton="0" quotePrefix="0" xfId="0">
      <alignment horizontal="right" vertical="center"/>
    </xf>
    <xf numFmtId="9" fontId="10" fillId="4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" fontId="15" fillId="10" borderId="1" applyAlignment="1" pivotButton="0" quotePrefix="0" xfId="0">
      <alignment horizontal="center" vertical="center"/>
    </xf>
    <xf numFmtId="10" fontId="15" fillId="1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167" fontId="11" fillId="4" borderId="1" applyAlignment="1" pivotButton="0" quotePrefix="0" xfId="0">
      <alignment horizontal="right" vertical="center"/>
    </xf>
    <xf numFmtId="165" fontId="19" fillId="10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165" fontId="21" fillId="14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167" fontId="14" fillId="5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0" fontId="18" fillId="15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right" vertical="center"/>
    </xf>
    <xf numFmtId="0" fontId="0" fillId="4" borderId="1" pivotButton="0" quotePrefix="0" xfId="0"/>
    <xf numFmtId="165" fontId="11" fillId="13" borderId="1" applyAlignment="1" pivotButton="0" quotePrefix="0" xfId="0">
      <alignment horizontal="right" vertical="center"/>
    </xf>
    <xf numFmtId="0" fontId="14" fillId="15" borderId="1" applyAlignment="1" pivotButton="0" quotePrefix="0" xfId="0">
      <alignment horizontal="left" vertical="center"/>
    </xf>
    <xf numFmtId="167" fontId="14" fillId="15" borderId="1" applyAlignment="1" pivotButton="0" quotePrefix="0" xfId="0">
      <alignment horizontal="right" vertical="center"/>
    </xf>
    <xf numFmtId="165" fontId="14" fillId="15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/>
    </xf>
    <xf numFmtId="0" fontId="15" fillId="13" borderId="2" applyAlignment="1" pivotButton="0" quotePrefix="0" xfId="0">
      <alignment horizontal="left" vertical="center"/>
    </xf>
    <xf numFmtId="167" fontId="22" fillId="13" borderId="2" applyAlignment="1" pivotButton="0" quotePrefix="0" xfId="0">
      <alignment horizontal="right" vertical="center"/>
    </xf>
    <xf numFmtId="0" fontId="0" fillId="13" borderId="2" pivotButton="0" quotePrefix="0" xfId="0"/>
    <xf numFmtId="0" fontId="23" fillId="14" borderId="2" applyAlignment="1" pivotButton="0" quotePrefix="0" xfId="0">
      <alignment horizontal="left" vertical="center"/>
    </xf>
    <xf numFmtId="167" fontId="24" fillId="14" borderId="2" applyAlignment="1" pivotButton="0" quotePrefix="0" xfId="0">
      <alignment horizontal="right" vertical="center"/>
    </xf>
    <xf numFmtId="0" fontId="0" fillId="14" borderId="2" pivotButton="0" quotePrefix="0" xfId="0"/>
    <xf numFmtId="0" fontId="10" fillId="10" borderId="2" applyAlignment="1" pivotButton="0" quotePrefix="0" xfId="0">
      <alignment horizontal="left" vertical="center"/>
    </xf>
    <xf numFmtId="167" fontId="25" fillId="10" borderId="2" applyAlignment="1" pivotButton="0" quotePrefix="0" xfId="0">
      <alignment horizontal="right" vertical="center"/>
    </xf>
    <xf numFmtId="0" fontId="0" fillId="10" borderId="2" pivotButton="0" quotePrefix="0" xfId="0"/>
    <xf numFmtId="0" fontId="13" fillId="11" borderId="2" applyAlignment="1" pivotButton="0" quotePrefix="0" xfId="0">
      <alignment horizontal="left" vertical="center"/>
    </xf>
    <xf numFmtId="165" fontId="26" fillId="11" borderId="2" applyAlignment="1" pivotButton="0" quotePrefix="0" xfId="0">
      <alignment horizontal="right" vertical="center"/>
    </xf>
    <xf numFmtId="0" fontId="0" fillId="11" borderId="2" pivotButton="0" quotePrefix="0" xfId="0"/>
    <xf numFmtId="0" fontId="27" fillId="9" borderId="2" applyAlignment="1" pivotButton="0" quotePrefix="0" xfId="0">
      <alignment horizontal="left" vertical="center"/>
    </xf>
    <xf numFmtId="167" fontId="28" fillId="9" borderId="2" applyAlignment="1" pivotButton="0" quotePrefix="0" xfId="0">
      <alignment horizontal="right" vertical="center"/>
    </xf>
    <xf numFmtId="0" fontId="0" fillId="9" borderId="2" pivotButton="0" quotePrefix="0" xfId="0"/>
    <xf numFmtId="0" fontId="2" fillId="5" borderId="1" applyAlignment="1" pivotButton="0" quotePrefix="0" xfId="0">
      <alignment horizontal="center" vertical="center"/>
    </xf>
    <xf numFmtId="167" fontId="12" fillId="13" borderId="1" applyAlignment="1" pivotButton="0" quotePrefix="0" xfId="0">
      <alignment horizontal="right" vertical="center"/>
    </xf>
    <xf numFmtId="165" fontId="12" fillId="10" borderId="1" applyAlignment="1" pivotButton="0" quotePrefix="0" xfId="0">
      <alignment horizontal="right" vertical="center"/>
    </xf>
    <xf numFmtId="164" fontId="19" fillId="10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right" vertical="center"/>
    </xf>
    <xf numFmtId="0" fontId="14" fillId="3" borderId="1" applyAlignment="1" pivotButton="0" quotePrefix="0" xfId="0">
      <alignment horizontal="left" vertical="center"/>
    </xf>
    <xf numFmtId="167" fontId="14" fillId="3" borderId="1" applyAlignment="1" pivotButton="0" quotePrefix="0" xfId="0">
      <alignment horizontal="right" vertical="center"/>
    </xf>
    <xf numFmtId="165" fontId="14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167" fontId="14" fillId="6" borderId="1" applyAlignment="1" pivotButton="0" quotePrefix="0" xfId="0">
      <alignment horizontal="right" vertical="center"/>
    </xf>
    <xf numFmtId="165" fontId="14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167" fontId="14" fillId="7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0" fontId="29" fillId="13" borderId="2" applyAlignment="1" pivotButton="0" quotePrefix="0" xfId="0">
      <alignment horizontal="left" vertical="center"/>
    </xf>
    <xf numFmtId="164" fontId="15" fillId="13" borderId="2" applyAlignment="1" pivotButton="0" quotePrefix="0" xfId="0">
      <alignment horizontal="right" vertical="center"/>
    </xf>
    <xf numFmtId="0" fontId="30" fillId="14" borderId="2" applyAlignment="1" pivotButton="0" quotePrefix="0" xfId="0">
      <alignment horizontal="left" vertical="center"/>
    </xf>
    <xf numFmtId="164" fontId="23" fillId="14" borderId="2" applyAlignment="1" pivotButton="0" quotePrefix="0" xfId="0">
      <alignment horizontal="right" vertical="center"/>
    </xf>
    <xf numFmtId="0" fontId="31" fillId="11" borderId="2" applyAlignment="1" pivotButton="0" quotePrefix="0" xfId="0">
      <alignment horizontal="left" vertical="center"/>
    </xf>
    <xf numFmtId="167" fontId="26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0" fontId="32" fillId="10" borderId="2" applyAlignment="1" pivotButton="0" quotePrefix="0" xfId="0">
      <alignment horizontal="left" vertical="center"/>
    </xf>
    <xf numFmtId="167" fontId="28" fillId="10" borderId="2" applyAlignment="1" pivotButton="0" quotePrefix="0" xfId="0">
      <alignment horizontal="right" vertical="center"/>
    </xf>
    <xf numFmtId="164" fontId="27" fillId="10" borderId="2" applyAlignment="1" pivotButton="0" quotePrefix="0" xfId="0">
      <alignment horizontal="right" vertical="center"/>
    </xf>
    <xf numFmtId="0" fontId="33" fillId="8" borderId="2" applyAlignment="1" pivotButton="0" quotePrefix="0" xfId="0">
      <alignment horizontal="left" vertical="center"/>
    </xf>
    <xf numFmtId="165" fontId="25" fillId="8" borderId="2" applyAlignment="1" pivotButton="0" quotePrefix="0" xfId="0">
      <alignment horizontal="right" vertical="center"/>
    </xf>
    <xf numFmtId="168" fontId="10" fillId="8" borderId="2" applyAlignment="1" pivotButton="0" quotePrefix="0" xfId="0">
      <alignment horizontal="right" vertical="center"/>
    </xf>
    <xf numFmtId="49" fontId="10" fillId="8" borderId="2" applyAlignment="1" pivotButton="0" quotePrefix="0" xfId="0">
      <alignment horizontal="right" vertical="center"/>
    </xf>
    <xf numFmtId="0" fontId="35" fillId="9" borderId="2" applyAlignment="1" pivotButton="0" quotePrefix="0" xfId="0">
      <alignment horizontal="left" vertical="center"/>
    </xf>
    <xf numFmtId="165" fontId="36" fillId="9" borderId="2" applyAlignment="1" pivotButton="0" quotePrefix="0" xfId="0">
      <alignment horizontal="right" vertical="center"/>
    </xf>
    <xf numFmtId="168" fontId="34" fillId="9" borderId="2" applyAlignment="1" pivotButton="0" quotePrefix="0" xfId="0">
      <alignment horizontal="right" vertical="center"/>
    </xf>
    <xf numFmtId="49" fontId="34" fillId="9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1" fontId="37" fillId="11" borderId="2" applyAlignment="1" pivotButton="0" quotePrefix="0" xfId="0">
      <alignment horizontal="right" vertical="center"/>
    </xf>
    <xf numFmtId="0" fontId="38" fillId="4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164" fontId="29" fillId="13" borderId="1" applyAlignment="1" pivotButton="0" quotePrefix="0" xfId="0">
      <alignment horizontal="right" vertical="center"/>
    </xf>
    <xf numFmtId="10" fontId="37" fillId="11" borderId="2" applyAlignment="1" pivotButton="0" quotePrefix="0" xfId="0">
      <alignment horizontal="right" vertical="center"/>
    </xf>
    <xf numFmtId="10" fontId="32" fillId="10" borderId="2" applyAlignment="1" pivotButton="0" quotePrefix="0" xfId="0">
      <alignment horizontal="right" vertical="center"/>
    </xf>
    <xf numFmtId="164" fontId="37" fillId="11" borderId="2" applyAlignment="1" pivotButton="0" quotePrefix="0" xfId="0">
      <alignment horizontal="right" vertical="center"/>
    </xf>
    <xf numFmtId="164" fontId="32" fillId="10" borderId="2" applyAlignment="1" pivotButton="0" quotePrefix="0" xfId="0">
      <alignment horizontal="right" vertical="center"/>
    </xf>
    <xf numFmtId="165" fontId="29" fillId="13" borderId="1" applyAlignment="1" pivotButton="0" quotePrefix="0" xfId="0">
      <alignment horizontal="right" vertical="center"/>
    </xf>
    <xf numFmtId="166" fontId="32" fillId="10" borderId="2" applyAlignment="1" pivotButton="0" quotePrefix="0" xfId="0">
      <alignment horizontal="right" vertical="center"/>
    </xf>
    <xf numFmtId="1" fontId="39" fillId="4" borderId="1" applyAlignment="1" pivotButton="0" quotePrefix="0" xfId="0">
      <alignment horizontal="center" vertical="center"/>
    </xf>
    <xf numFmtId="1" fontId="40" fillId="4" borderId="1" applyAlignment="1" pivotButton="0" quotePrefix="0" xfId="0">
      <alignment horizontal="center" vertical="center"/>
    </xf>
    <xf numFmtId="164" fontId="40" fillId="4" borderId="1" applyAlignment="1" pivotButton="0" quotePrefix="0" xfId="0">
      <alignment horizontal="right" vertical="center"/>
    </xf>
    <xf numFmtId="164" fontId="41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4" fontId="42" fillId="4" borderId="1" applyAlignment="1" pivotButton="0" quotePrefix="0" xfId="0">
      <alignment horizontal="right" vertical="center"/>
    </xf>
    <xf numFmtId="9" fontId="39" fillId="4" borderId="1" applyAlignment="1" pivotButton="0" quotePrefix="0" xfId="0">
      <alignment horizontal="center" vertical="center"/>
    </xf>
    <xf numFmtId="1" fontId="40" fillId="9" borderId="1" applyAlignment="1" pivotButton="0" quotePrefix="0" xfId="0">
      <alignment horizontal="center" vertical="center"/>
    </xf>
    <xf numFmtId="164" fontId="40" fillId="9" borderId="1" applyAlignment="1" pivotButton="0" quotePrefix="0" xfId="0">
      <alignment horizontal="right" vertical="center"/>
    </xf>
    <xf numFmtId="164" fontId="41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4" fontId="42" fillId="9" borderId="1" applyAlignment="1" pivotButton="0" quotePrefix="0" xfId="0">
      <alignment horizontal="right" vertical="center"/>
    </xf>
    <xf numFmtId="9" fontId="39" fillId="9" borderId="1" applyAlignment="1" pivotButton="0" quotePrefix="0" xfId="0">
      <alignment horizontal="center" vertical="center"/>
    </xf>
    <xf numFmtId="0" fontId="43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3" borderId="1" applyAlignment="1" pivotButton="0" quotePrefix="0" xfId="0">
      <alignment horizontal="left" vertical="center"/>
    </xf>
    <xf numFmtId="164" fontId="44" fillId="4" borderId="1" applyAlignment="1" pivotButton="0" quotePrefix="0" xfId="0">
      <alignment horizontal="right" vertical="center"/>
    </xf>
    <xf numFmtId="164" fontId="27" fillId="10" borderId="1" applyAlignment="1" pivotButton="0" quotePrefix="0" xfId="0">
      <alignment horizontal="right" vertical="center"/>
    </xf>
    <xf numFmtId="0" fontId="3" fillId="16" borderId="1" applyAlignment="1" pivotButton="0" quotePrefix="0" xfId="0">
      <alignment horizontal="left" vertical="center"/>
    </xf>
    <xf numFmtId="164" fontId="45" fillId="1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15" fillId="1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64" fontId="13" fillId="10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left" vertical="center"/>
    </xf>
    <xf numFmtId="164" fontId="23" fillId="10" borderId="1" applyAlignment="1" pivotButton="0" quotePrefix="0" xfId="0">
      <alignment horizontal="right" vertical="center"/>
    </xf>
    <xf numFmtId="1" fontId="32" fillId="10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164" fontId="46" fillId="10" borderId="1" applyAlignment="1" pivotButton="0" quotePrefix="0" xfId="0">
      <alignment horizontal="right" vertical="center"/>
    </xf>
    <xf numFmtId="164" fontId="47" fillId="13" borderId="2" applyAlignment="1" pivotButton="0" quotePrefix="0" xfId="0">
      <alignment horizontal="center" vertical="center"/>
    </xf>
    <xf numFmtId="167" fontId="47" fillId="13" borderId="2" applyAlignment="1" pivotButton="0" quotePrefix="0" xfId="0">
      <alignment horizontal="center" vertical="center"/>
    </xf>
    <xf numFmtId="164" fontId="48" fillId="11" borderId="2" applyAlignment="1" pivotButton="0" quotePrefix="0" xfId="0">
      <alignment horizontal="center" vertical="center"/>
    </xf>
    <xf numFmtId="0" fontId="27" fillId="10" borderId="2" applyAlignment="1" pivotButton="0" quotePrefix="0" xfId="0">
      <alignment horizontal="left" vertical="center"/>
    </xf>
    <xf numFmtId="164" fontId="49" fillId="10" borderId="2" applyAlignment="1" pivotButton="0" quotePrefix="0" xfId="0">
      <alignment horizontal="center" vertical="center"/>
    </xf>
    <xf numFmtId="49" fontId="50" fillId="10" borderId="2" applyAlignment="1" pivotButton="0" quotePrefix="0" xfId="0">
      <alignment horizontal="center" vertical="center"/>
    </xf>
    <xf numFmtId="169" fontId="47" fillId="13" borderId="2" applyAlignment="1" pivotButton="0" quotePrefix="0" xfId="0">
      <alignment horizontal="center" vertical="center"/>
    </xf>
    <xf numFmtId="0" fontId="34" fillId="9" borderId="2" applyAlignment="1" pivotButton="0" quotePrefix="0" xfId="0">
      <alignment horizontal="left" vertical="center"/>
    </xf>
    <xf numFmtId="10" fontId="51" fillId="9" borderId="2" applyAlignment="1" pivotButton="0" quotePrefix="0" xfId="0">
      <alignment horizontal="center" vertical="center"/>
    </xf>
    <xf numFmtId="164" fontId="52" fillId="4" borderId="1" applyAlignment="1" pivotButton="0" quotePrefix="0" xfId="0">
      <alignment horizontal="right" vertical="center"/>
    </xf>
    <xf numFmtId="0" fontId="39" fillId="4" borderId="1" applyAlignment="1" pivotButton="0" quotePrefix="0" xfId="0">
      <alignment horizontal="center" vertical="center"/>
    </xf>
    <xf numFmtId="164" fontId="52" fillId="9" borderId="1" applyAlignment="1" pivotButton="0" quotePrefix="0" xfId="0">
      <alignment horizontal="right" vertical="center"/>
    </xf>
    <xf numFmtId="164" fontId="44" fillId="9" borderId="1" applyAlignment="1" pivotButton="0" quotePrefix="0" xfId="0">
      <alignment horizontal="right" vertical="center"/>
    </xf>
    <xf numFmtId="0" fontId="39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1A7A4A"/>
      </font>
      <fill>
        <patternFill patternType="solid">
          <fgColor rgb="00D5F5E3"/>
        </patternFill>
      </fill>
    </dxf>
    <dxf>
      <font>
        <b val="1"/>
        <color rgb="00B03A2E"/>
      </font>
      <fill>
        <patternFill patternType="solid">
          <fgColor rgb="00FADBD8"/>
        </patternFill>
      </fill>
    </dxf>
    <dxf>
      <font>
        <b val="1"/>
        <color rgb="00D4AC0D"/>
      </font>
      <fill>
        <patternFill patternType="solid">
          <fgColor rgb="00FEF9E7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Portfolio Growth vs FIRE Target</a:t>
            </a:r>
          </a:p>
        </rich>
      </tx>
    </title>
    <plotArea>
      <lineChart>
        <grouping val="standard"/>
        <ser>
          <idx val="0"/>
          <order val="0"/>
          <tx>
            <strRef>
              <f>'Investment Growth'!G18</f>
            </strRef>
          </tx>
          <spPr>
            <a:ln w="25000">
              <a:solidFill>
                <a:srgbClr val="2471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Growth'!$B$19:$B$68</f>
            </numRef>
          </cat>
          <val>
            <numRef>
              <f>'Investment Growth'!$G$19:$G$68</f>
            </numRef>
          </val>
        </ser>
        <ser>
          <idx val="1"/>
          <order val="1"/>
          <tx>
            <strRef>
              <f>'Investment Growth'!H18</f>
            </strRef>
          </tx>
          <spPr>
            <a:ln w="18000">
              <a:solidFill>
                <a:srgbClr val="B03A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Growth'!$B$19:$B$68</f>
            </numRef>
          </cat>
          <val>
            <numRef>
              <f>'Investment Growth'!$H$19:$H$68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70</row>
      <rowOff>0</rowOff>
    </from>
    <ext cx="936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B2:K19"/>
  <sheetViews>
    <sheetView showGridLines="0" zoomScale="95" workbookViewId="0">
      <selection activeCell="A1" sqref="A1"/>
    </sheetView>
  </sheetViews>
  <sheetFormatPr baseColWidth="8" defaultRowHeight="15"/>
  <cols>
    <col width="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2" customWidth="1" min="11" max="11"/>
  </cols>
  <sheetData>
    <row r="1" ht="8" customHeight="1"/>
    <row r="2" ht="48" customHeight="1">
      <c r="B2" s="1" t="inlineStr">
        <is>
          <t>FIRE RETIREMENT PLANNER</t>
        </is>
      </c>
    </row>
    <row r="3" ht="22" customHeight="1">
      <c r="B3" s="2" t="inlineStr">
        <is>
          <t>Financial Independence · Retire Early · Live Free</t>
        </is>
      </c>
    </row>
    <row r="4" ht="12" customHeight="1"/>
    <row r="5" ht="20" customHeight="1">
      <c r="B5" s="3" t="inlineStr">
        <is>
          <t>NET WORTH</t>
        </is>
      </c>
      <c r="D5" s="4" t="inlineStr">
        <is>
          <t>FIRE NUMBER</t>
        </is>
      </c>
      <c r="F5" s="5" t="inlineStr">
        <is>
          <t>FI PROGRESS</t>
        </is>
      </c>
      <c r="H5" s="6" t="inlineStr">
        <is>
          <t>YEARS TO FIRE</t>
        </is>
      </c>
      <c r="J5" s="7" t="inlineStr">
        <is>
          <t>MONTHLY SAVINGS</t>
        </is>
      </c>
    </row>
    <row r="6" ht="38" customHeight="1">
      <c r="B6" s="8">
        <f>'Net Worth'!C42</f>
        <v/>
      </c>
      <c r="D6" s="9">
        <f>'Investment Growth'!C14</f>
        <v/>
      </c>
      <c r="F6" s="10">
        <f>IFERROR('Net Worth'!C42/'Investment Growth'!C14,0)</f>
        <v/>
      </c>
      <c r="H6" s="11">
        <f>'Investment Growth'!C15</f>
        <v/>
      </c>
      <c r="J6" s="12">
        <f>'Budget &amp; Savings'!C55</f>
        <v/>
      </c>
    </row>
    <row r="7" ht="12" customHeight="1"/>
    <row r="8" ht="22" customHeight="1">
      <c r="B8" s="2" t="inlineStr">
        <is>
          <t>FIRE MILESTONE TRACKER</t>
        </is>
      </c>
    </row>
    <row r="9" ht="18" customHeight="1">
      <c r="B9" s="13" t="inlineStr">
        <is>
          <t>Milestone</t>
        </is>
      </c>
      <c r="D9" s="13" t="inlineStr">
        <is>
          <t>Target</t>
        </is>
      </c>
      <c r="F9" s="13" t="inlineStr">
        <is>
          <t>Current NW</t>
        </is>
      </c>
      <c r="H9" s="13" t="inlineStr">
        <is>
          <t>Progress</t>
        </is>
      </c>
      <c r="J9" s="13" t="inlineStr">
        <is>
          <t>Status</t>
        </is>
      </c>
    </row>
    <row r="10" ht="20" customHeight="1">
      <c r="B10" s="14" t="inlineStr">
        <is>
          <t>$25K Starter</t>
        </is>
      </c>
      <c r="D10" s="15" t="n">
        <v>25000</v>
      </c>
      <c r="F10" s="16">
        <f>'Net Worth'!C42</f>
        <v/>
      </c>
      <c r="H10" s="17">
        <f>MIN(F10/D10,1)</f>
        <v/>
      </c>
      <c r="J10" s="18">
        <f>IF(H10&gt;=1,"✅ ACHIEVED",IF(H10&gt;=0.5,"🔥 Halfway","⏳ Building"))</f>
        <v/>
      </c>
    </row>
    <row r="11" ht="20" customHeight="1">
      <c r="B11" s="14" t="inlineStr">
        <is>
          <t>$100K Club</t>
        </is>
      </c>
      <c r="D11" s="15" t="n">
        <v>100000</v>
      </c>
      <c r="F11" s="16">
        <f>'Net Worth'!C42</f>
        <v/>
      </c>
      <c r="H11" s="17">
        <f>MIN(F11/D11,1)</f>
        <v/>
      </c>
      <c r="J11" s="18">
        <f>IF(H11&gt;=1,"✅ ACHIEVED",IF(H11&gt;=0.5,"🔥 Halfway","⏳ Building"))</f>
        <v/>
      </c>
    </row>
    <row r="12" ht="20" customHeight="1">
      <c r="B12" s="14" t="inlineStr">
        <is>
          <t>25% FI</t>
        </is>
      </c>
      <c r="D12" s="15">
        <f>'Investment Growth'!C14*0.25</f>
        <v/>
      </c>
      <c r="F12" s="16">
        <f>'Net Worth'!C42</f>
        <v/>
      </c>
      <c r="H12" s="17">
        <f>MIN(F12/D12,1)</f>
        <v/>
      </c>
      <c r="J12" s="18">
        <f>IF(H12&gt;=1,"✅ ACHIEVED",IF(H12&gt;=0.5,"🔥 Halfway","⏳ Building"))</f>
        <v/>
      </c>
    </row>
    <row r="13" ht="20" customHeight="1">
      <c r="B13" s="14" t="inlineStr">
        <is>
          <t>50% FI</t>
        </is>
      </c>
      <c r="D13" s="15">
        <f>'Investment Growth'!C14*0.5</f>
        <v/>
      </c>
      <c r="F13" s="16">
        <f>'Net Worth'!C42</f>
        <v/>
      </c>
      <c r="H13" s="17">
        <f>MIN(F13/D13,1)</f>
        <v/>
      </c>
      <c r="J13" s="18">
        <f>IF(H13&gt;=1,"✅ ACHIEVED",IF(H13&gt;=0.5,"🔥 Halfway","⏳ Building"))</f>
        <v/>
      </c>
    </row>
    <row r="14" ht="20" customHeight="1">
      <c r="B14" s="14" t="inlineStr">
        <is>
          <t>FIRE — 100%</t>
        </is>
      </c>
      <c r="D14" s="15">
        <f>'Investment Growth'!C14</f>
        <v/>
      </c>
      <c r="F14" s="16">
        <f>'Net Worth'!C42</f>
        <v/>
      </c>
      <c r="H14" s="17">
        <f>MIN(F14/D14,1)</f>
        <v/>
      </c>
      <c r="J14" s="18">
        <f>IF(H14&gt;=1,"✅ ACHIEVED",IF(H14&gt;=0.5,"🔥 Halfway","⏳ Building"))</f>
        <v/>
      </c>
    </row>
    <row r="15" ht="12" customHeight="1"/>
    <row r="16" ht="20" customHeight="1">
      <c r="B16" s="19" t="inlineStr">
        <is>
          <t>KEY ASSUMPTIONS  (edit values in their own sheets)</t>
        </is>
      </c>
    </row>
    <row r="17" ht="20" customHeight="1">
      <c r="B17" s="20" t="inlineStr">
        <is>
          <t>Current Age</t>
        </is>
      </c>
      <c r="E17" s="21">
        <f>'Investment Growth'!C6</f>
        <v/>
      </c>
      <c r="G17" s="20" t="inlineStr">
        <is>
          <t>Annual Return (nominal)</t>
        </is>
      </c>
      <c r="J17" s="22">
        <f>'Investment Growth'!C7</f>
        <v/>
      </c>
    </row>
    <row r="18" ht="20" customHeight="1">
      <c r="B18" s="20" t="inlineStr">
        <is>
          <t>Inflation Rate</t>
        </is>
      </c>
      <c r="E18" s="22">
        <f>'Investment Growth'!C8</f>
        <v/>
      </c>
      <c r="G18" s="20" t="inlineStr">
        <is>
          <t>Retirement Age</t>
        </is>
      </c>
      <c r="J18" s="21">
        <f>'Investment Growth'!C12</f>
        <v/>
      </c>
    </row>
    <row r="19" ht="20" customHeight="1">
      <c r="B19" s="20" t="inlineStr">
        <is>
          <t>Safe Withdrawal Rate</t>
        </is>
      </c>
      <c r="E19" s="22">
        <f>'SWR Calculator'!C10</f>
        <v/>
      </c>
      <c r="G19" s="20" t="inlineStr">
        <is>
          <t>Real Return Rate</t>
        </is>
      </c>
      <c r="J19" s="22">
        <f>'Investment Growth'!C9</f>
        <v/>
      </c>
    </row>
  </sheetData>
  <mergeCells count="56">
    <mergeCell ref="F11:G11"/>
    <mergeCell ref="D10:E10"/>
    <mergeCell ref="J5:K5"/>
    <mergeCell ref="F10:G10"/>
    <mergeCell ref="G19:I19"/>
    <mergeCell ref="H10:I10"/>
    <mergeCell ref="J14:K14"/>
    <mergeCell ref="J10:K10"/>
    <mergeCell ref="B17:D17"/>
    <mergeCell ref="G18:I18"/>
    <mergeCell ref="F6:G6"/>
    <mergeCell ref="B8:J8"/>
    <mergeCell ref="J19:K19"/>
    <mergeCell ref="J13:K13"/>
    <mergeCell ref="E17:F17"/>
    <mergeCell ref="H9:I9"/>
    <mergeCell ref="J9:K9"/>
    <mergeCell ref="B12:C12"/>
    <mergeCell ref="D6:E6"/>
    <mergeCell ref="F12:G12"/>
    <mergeCell ref="B19:D19"/>
    <mergeCell ref="H6:I6"/>
    <mergeCell ref="J17:K17"/>
    <mergeCell ref="B11:C11"/>
    <mergeCell ref="J6:K6"/>
    <mergeCell ref="D11:E11"/>
    <mergeCell ref="D13:E13"/>
    <mergeCell ref="F5:G5"/>
    <mergeCell ref="E19:F19"/>
    <mergeCell ref="B14:C14"/>
    <mergeCell ref="B13:C13"/>
    <mergeCell ref="H11:I11"/>
    <mergeCell ref="J11:K11"/>
    <mergeCell ref="B10:C10"/>
    <mergeCell ref="F13:G13"/>
    <mergeCell ref="B9:C9"/>
    <mergeCell ref="D9:E9"/>
    <mergeCell ref="H13:I13"/>
    <mergeCell ref="F9:G9"/>
    <mergeCell ref="D12:E12"/>
    <mergeCell ref="B16:J16"/>
    <mergeCell ref="B6:C6"/>
    <mergeCell ref="H12:I12"/>
    <mergeCell ref="B3:J3"/>
    <mergeCell ref="J12:K12"/>
    <mergeCell ref="B5:C5"/>
    <mergeCell ref="D5:E5"/>
    <mergeCell ref="B18:D18"/>
    <mergeCell ref="D14:E14"/>
    <mergeCell ref="H5:I5"/>
    <mergeCell ref="J18:K18"/>
    <mergeCell ref="F14:G14"/>
    <mergeCell ref="G17:I17"/>
    <mergeCell ref="H14:I14"/>
    <mergeCell ref="E18:F18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B2:F44"/>
  <sheetViews>
    <sheetView showGridLines="0" zoomScale="95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4" customWidth="1" min="4" max="4"/>
    <col width="16" customWidth="1" min="5" max="5"/>
    <col width="20" customWidth="1" min="6" max="6"/>
    <col width="2" customWidth="1" min="7" max="7"/>
  </cols>
  <sheetData>
    <row r="1" ht="8" customHeight="1"/>
    <row r="2" ht="44" customHeight="1">
      <c r="B2" s="23" t="inlineStr">
        <is>
          <t>NET WORTH TRACKER</t>
        </is>
      </c>
    </row>
    <row r="3" ht="20" customHeight="1">
      <c r="B3" s="24" t="inlineStr">
        <is>
          <t>Last updated: June 24, 2026  ·  Update monthly for accurate FIRE tracking</t>
        </is>
      </c>
    </row>
    <row r="4" ht="10" customHeight="1"/>
    <row r="5" ht="24" customHeight="1">
      <c r="B5" s="25" t="inlineStr">
        <is>
          <t>ASSETS</t>
        </is>
      </c>
    </row>
    <row r="6" ht="20" customHeight="1">
      <c r="B6" s="13" t="inlineStr">
        <is>
          <t>Asset Category</t>
        </is>
      </c>
      <c r="C6" s="13" t="inlineStr">
        <is>
          <t>Current Value ($)</t>
        </is>
      </c>
      <c r="D6" s="13" t="inlineStr">
        <is>
          <t>% of Assets</t>
        </is>
      </c>
      <c r="E6" s="13" t="inlineStr">
        <is>
          <t>Est. Annual Return</t>
        </is>
      </c>
      <c r="F6" s="13" t="inlineStr">
        <is>
          <t>Notes</t>
        </is>
      </c>
    </row>
    <row r="7" ht="18" customHeight="1">
      <c r="B7" s="26" t="inlineStr">
        <is>
          <t>Cash &amp; Savings Account</t>
        </is>
      </c>
      <c r="C7" s="27" t="n">
        <v>15000</v>
      </c>
      <c r="D7" s="28">
        <f>IF(C21&gt;0,C7/C21,0)</f>
        <v/>
      </c>
      <c r="E7" s="29" t="n">
        <v>0.005</v>
      </c>
      <c r="F7" s="30" t="n"/>
    </row>
    <row r="8" ht="18" customHeight="1">
      <c r="B8" s="26" t="inlineStr">
        <is>
          <t>Emergency Fund</t>
        </is>
      </c>
      <c r="C8" s="27" t="n">
        <v>10000</v>
      </c>
      <c r="D8" s="28">
        <f>IF(C21&gt;0,C8/C21,0)</f>
        <v/>
      </c>
      <c r="E8" s="29" t="n">
        <v>0.047</v>
      </c>
      <c r="F8" s="30" t="n"/>
    </row>
    <row r="9" ht="18" customHeight="1">
      <c r="B9" s="26" t="inlineStr">
        <is>
          <t>Checking Account</t>
        </is>
      </c>
      <c r="C9" s="27" t="n">
        <v>5000</v>
      </c>
      <c r="D9" s="28">
        <f>IF(C21&gt;0,C9/C21,0)</f>
        <v/>
      </c>
      <c r="E9" s="29" t="n">
        <v>0.001</v>
      </c>
      <c r="F9" s="30" t="n"/>
    </row>
    <row r="10" ht="18" customHeight="1">
      <c r="B10" s="26" t="inlineStr">
        <is>
          <t>401(k) / 403(b)</t>
        </is>
      </c>
      <c r="C10" s="27" t="n">
        <v>85000</v>
      </c>
      <c r="D10" s="28">
        <f>IF(C21&gt;0,C10/C21,0)</f>
        <v/>
      </c>
      <c r="E10" s="29" t="n">
        <v>0.08</v>
      </c>
      <c r="F10" s="30" t="n"/>
    </row>
    <row r="11" ht="18" customHeight="1">
      <c r="B11" s="26" t="inlineStr">
        <is>
          <t>Roth IRA</t>
        </is>
      </c>
      <c r="C11" s="27" t="n">
        <v>35000</v>
      </c>
      <c r="D11" s="28">
        <f>IF(C21&gt;0,C11/C21,0)</f>
        <v/>
      </c>
      <c r="E11" s="29" t="n">
        <v>0.08</v>
      </c>
      <c r="F11" s="30" t="n"/>
    </row>
    <row r="12" ht="18" customHeight="1">
      <c r="B12" s="26" t="inlineStr">
        <is>
          <t>Traditional IRA</t>
        </is>
      </c>
      <c r="C12" s="27" t="n">
        <v>0</v>
      </c>
      <c r="D12" s="28">
        <f>IF(C21&gt;0,C12/C21,0)</f>
        <v/>
      </c>
      <c r="E12" s="29" t="n">
        <v>0.08</v>
      </c>
      <c r="F12" s="30" t="n"/>
    </row>
    <row r="13" ht="18" customHeight="1">
      <c r="B13" s="26" t="inlineStr">
        <is>
          <t>Taxable Brokerage Account</t>
        </is>
      </c>
      <c r="C13" s="27" t="n">
        <v>25000</v>
      </c>
      <c r="D13" s="28">
        <f>IF(C21&gt;0,C13/C21,0)</f>
        <v/>
      </c>
      <c r="E13" s="29" t="n">
        <v>0.08</v>
      </c>
      <c r="F13" s="30" t="n"/>
    </row>
    <row r="14" ht="18" customHeight="1">
      <c r="B14" s="26" t="inlineStr">
        <is>
          <t>HSA (Health Savings Account)</t>
        </is>
      </c>
      <c r="C14" s="27" t="n">
        <v>8000</v>
      </c>
      <c r="D14" s="28">
        <f>IF(C21&gt;0,C14/C21,0)</f>
        <v/>
      </c>
      <c r="E14" s="29" t="n">
        <v>0.07000000000000001</v>
      </c>
      <c r="F14" s="30" t="n"/>
    </row>
    <row r="15" ht="18" customHeight="1">
      <c r="B15" s="26" t="inlineStr">
        <is>
          <t>Real Estate — Primary Residence</t>
        </is>
      </c>
      <c r="C15" s="27" t="n">
        <v>350000</v>
      </c>
      <c r="D15" s="28">
        <f>IF(C21&gt;0,C15/C21,0)</f>
        <v/>
      </c>
      <c r="E15" s="29" t="n">
        <v>0.04</v>
      </c>
      <c r="F15" s="30" t="n"/>
    </row>
    <row r="16" ht="18" customHeight="1">
      <c r="B16" s="26" t="inlineStr">
        <is>
          <t>Real Estate — Investment Property</t>
        </is>
      </c>
      <c r="C16" s="27" t="n">
        <v>0</v>
      </c>
      <c r="D16" s="28">
        <f>IF(C21&gt;0,C16/C21,0)</f>
        <v/>
      </c>
      <c r="E16" s="29" t="n">
        <v>0.06</v>
      </c>
      <c r="F16" s="30" t="n"/>
    </row>
    <row r="17" ht="18" customHeight="1">
      <c r="B17" s="26" t="inlineStr">
        <is>
          <t>Vehicles</t>
        </is>
      </c>
      <c r="C17" s="27" t="n">
        <v>15000</v>
      </c>
      <c r="D17" s="28">
        <f>IF(C21&gt;0,C17/C21,0)</f>
        <v/>
      </c>
      <c r="E17" s="31" t="n">
        <v>-0.1</v>
      </c>
      <c r="F17" s="30" t="n"/>
    </row>
    <row r="18" ht="18" customHeight="1">
      <c r="B18" s="26" t="inlineStr">
        <is>
          <t>Business Equity</t>
        </is>
      </c>
      <c r="C18" s="27" t="n">
        <v>0</v>
      </c>
      <c r="D18" s="28">
        <f>IF(C21&gt;0,C18/C21,0)</f>
        <v/>
      </c>
      <c r="E18" s="29" t="n">
        <v>0.1</v>
      </c>
      <c r="F18" s="30" t="n"/>
    </row>
    <row r="19" ht="18" customHeight="1">
      <c r="B19" s="26" t="inlineStr">
        <is>
          <t>Crypto / Alternative Assets</t>
        </is>
      </c>
      <c r="C19" s="27" t="n">
        <v>5000</v>
      </c>
      <c r="D19" s="28">
        <f>IF(C21&gt;0,C19/C21,0)</f>
        <v/>
      </c>
      <c r="E19" s="29" t="n">
        <v>0.15</v>
      </c>
      <c r="F19" s="30" t="n"/>
    </row>
    <row r="20" ht="18" customHeight="1">
      <c r="B20" s="26" t="inlineStr">
        <is>
          <t>Other Assets</t>
        </is>
      </c>
      <c r="C20" s="27" t="n">
        <v>2000</v>
      </c>
      <c r="D20" s="28">
        <f>IF(C21&gt;0,C20/C21,0)</f>
        <v/>
      </c>
      <c r="E20" s="29" t="n">
        <v>0.02</v>
      </c>
      <c r="F20" s="30" t="n"/>
    </row>
    <row r="21" ht="22" customHeight="1">
      <c r="B21" s="32" t="inlineStr">
        <is>
          <t>TOTAL ASSETS</t>
        </is>
      </c>
      <c r="C21" s="33">
        <f>SUM(C7:C20)</f>
        <v/>
      </c>
      <c r="D21" s="34" t="inlineStr">
        <is>
          <t>100.0%</t>
        </is>
      </c>
      <c r="E21" s="34">
        <f>SUMPRODUCT(C7:C20,E7:E20)/C21</f>
        <v/>
      </c>
    </row>
    <row r="22" ht="10" customHeight="1"/>
    <row r="23" ht="24" customHeight="1">
      <c r="B23" s="35" t="inlineStr">
        <is>
          <t>LIABILITIES</t>
        </is>
      </c>
    </row>
    <row r="24" ht="20" customHeight="1">
      <c r="B24" s="13" t="inlineStr">
        <is>
          <t>Liability Category</t>
        </is>
      </c>
      <c r="C24" s="13" t="inlineStr">
        <is>
          <t>Balance Owed ($)</t>
        </is>
      </c>
      <c r="D24" s="13" t="inlineStr">
        <is>
          <t>% of Liabilities</t>
        </is>
      </c>
      <c r="E24" s="13" t="inlineStr">
        <is>
          <t>Interest Rate</t>
        </is>
      </c>
      <c r="F24" s="13" t="inlineStr">
        <is>
          <t>Notes</t>
        </is>
      </c>
    </row>
    <row r="25" ht="18" customHeight="1">
      <c r="B25" s="26" t="inlineStr">
        <is>
          <t>Mortgage — Primary Residence</t>
        </is>
      </c>
      <c r="C25" s="27" t="n">
        <v>250000</v>
      </c>
      <c r="D25" s="31">
        <f>IF(C37&gt;0,C25/C37,0)</f>
        <v/>
      </c>
      <c r="E25" s="36" t="n">
        <v>0.065</v>
      </c>
      <c r="F25" s="37" t="n"/>
    </row>
    <row r="26" ht="18" customHeight="1">
      <c r="B26" s="26" t="inlineStr">
        <is>
          <t>Mortgage — Investment Property</t>
        </is>
      </c>
      <c r="C26" s="27" t="n">
        <v>0</v>
      </c>
      <c r="D26" s="31">
        <f>IF(C37&gt;0,C26/C37,0)</f>
        <v/>
      </c>
      <c r="E26" s="36" t="n">
        <v>0.07000000000000001</v>
      </c>
      <c r="F26" s="37" t="n"/>
    </row>
    <row r="27" ht="18" customHeight="1">
      <c r="B27" s="26" t="inlineStr">
        <is>
          <t>Home Equity Loan / HELOC</t>
        </is>
      </c>
      <c r="C27" s="27" t="n">
        <v>0</v>
      </c>
      <c r="D27" s="31">
        <f>IF(C37&gt;0,C27/C37,0)</f>
        <v/>
      </c>
      <c r="E27" s="36" t="n">
        <v>0.08500000000000001</v>
      </c>
      <c r="F27" s="37" t="n"/>
    </row>
    <row r="28" ht="18" customHeight="1">
      <c r="B28" s="26" t="inlineStr">
        <is>
          <t>Auto Loan 1</t>
        </is>
      </c>
      <c r="C28" s="27" t="n">
        <v>12000</v>
      </c>
      <c r="D28" s="31">
        <f>IF(C37&gt;0,C28/C37,0)</f>
        <v/>
      </c>
      <c r="E28" s="36" t="n">
        <v>0.059</v>
      </c>
      <c r="F28" s="37" t="n"/>
    </row>
    <row r="29" ht="18" customHeight="1">
      <c r="B29" s="26" t="inlineStr">
        <is>
          <t>Auto Loan 2</t>
        </is>
      </c>
      <c r="C29" s="27" t="n">
        <v>0</v>
      </c>
      <c r="D29" s="31">
        <f>IF(C37&gt;0,C29/C37,0)</f>
        <v/>
      </c>
      <c r="E29" s="38" t="n">
        <v>0</v>
      </c>
      <c r="F29" s="37" t="n"/>
    </row>
    <row r="30" ht="18" customHeight="1">
      <c r="B30" s="26" t="inlineStr">
        <is>
          <t>Student Loans</t>
        </is>
      </c>
      <c r="C30" s="27" t="n">
        <v>18000</v>
      </c>
      <c r="D30" s="31">
        <f>IF(C37&gt;0,C30/C37,0)</f>
        <v/>
      </c>
      <c r="E30" s="36" t="n">
        <v>0.055</v>
      </c>
      <c r="F30" s="37" t="n"/>
    </row>
    <row r="31" ht="18" customHeight="1">
      <c r="B31" s="26" t="inlineStr">
        <is>
          <t>Credit Card 1</t>
        </is>
      </c>
      <c r="C31" s="27" t="n">
        <v>3500</v>
      </c>
      <c r="D31" s="31">
        <f>IF(C37&gt;0,C31/C37,0)</f>
        <v/>
      </c>
      <c r="E31" s="31" t="n">
        <v>0.22</v>
      </c>
      <c r="F31" s="37" t="n"/>
    </row>
    <row r="32" ht="18" customHeight="1">
      <c r="B32" s="26" t="inlineStr">
        <is>
          <t>Credit Card 2</t>
        </is>
      </c>
      <c r="C32" s="27" t="n">
        <v>0</v>
      </c>
      <c r="D32" s="31">
        <f>IF(C37&gt;0,C32/C37,0)</f>
        <v/>
      </c>
      <c r="E32" s="31" t="n">
        <v>0.22</v>
      </c>
      <c r="F32" s="37" t="n"/>
    </row>
    <row r="33" ht="18" customHeight="1">
      <c r="B33" s="26" t="inlineStr">
        <is>
          <t>Personal Loan</t>
        </is>
      </c>
      <c r="C33" s="27" t="n">
        <v>0</v>
      </c>
      <c r="D33" s="31">
        <f>IF(C37&gt;0,C33/C37,0)</f>
        <v/>
      </c>
      <c r="E33" s="31" t="n">
        <v>0.12</v>
      </c>
      <c r="F33" s="37" t="n"/>
    </row>
    <row r="34" ht="18" customHeight="1">
      <c r="B34" s="26" t="inlineStr">
        <is>
          <t>Medical Debt</t>
        </is>
      </c>
      <c r="C34" s="27" t="n">
        <v>0</v>
      </c>
      <c r="D34" s="31">
        <f>IF(C37&gt;0,C34/C37,0)</f>
        <v/>
      </c>
      <c r="E34" s="38" t="n">
        <v>0</v>
      </c>
      <c r="F34" s="37" t="n"/>
    </row>
    <row r="35" ht="18" customHeight="1">
      <c r="B35" s="26" t="inlineStr">
        <is>
          <t>Business Debt</t>
        </is>
      </c>
      <c r="C35" s="27" t="n">
        <v>0</v>
      </c>
      <c r="D35" s="31">
        <f>IF(C37&gt;0,C35/C37,0)</f>
        <v/>
      </c>
      <c r="E35" s="36" t="n">
        <v>0.08</v>
      </c>
      <c r="F35" s="37" t="n"/>
    </row>
    <row r="36" ht="18" customHeight="1">
      <c r="B36" s="26" t="inlineStr">
        <is>
          <t>Other Liabilities</t>
        </is>
      </c>
      <c r="C36" s="27" t="n">
        <v>0</v>
      </c>
      <c r="D36" s="31">
        <f>IF(C37&gt;0,C36/C37,0)</f>
        <v/>
      </c>
      <c r="E36" s="38" t="n">
        <v>0</v>
      </c>
      <c r="F36" s="37" t="n"/>
    </row>
    <row r="37" ht="22" customHeight="1">
      <c r="B37" s="39" t="inlineStr">
        <is>
          <t>TOTAL LIABILITIES</t>
        </is>
      </c>
      <c r="C37" s="40">
        <f>SUM(C25:C36)</f>
        <v/>
      </c>
      <c r="D37" s="41" t="inlineStr">
        <is>
          <t>100.0%</t>
        </is>
      </c>
      <c r="E37" s="41">
        <f>IFERROR(SUMPRODUCT(C25:C36,E25:E36)/C37,0)</f>
        <v/>
      </c>
    </row>
    <row r="39" ht="24" customHeight="1">
      <c r="B39" s="42" t="inlineStr">
        <is>
          <t>NET WORTH SUMMARY</t>
        </is>
      </c>
    </row>
    <row r="40" ht="28" customHeight="1">
      <c r="B40" s="43" t="inlineStr">
        <is>
          <t>Total Assets</t>
        </is>
      </c>
      <c r="C40" s="44">
        <f>C21</f>
        <v/>
      </c>
      <c r="F40" s="45" t="n"/>
    </row>
    <row r="41" ht="28" customHeight="1">
      <c r="B41" s="46" t="inlineStr">
        <is>
          <t>Total Liabilities</t>
        </is>
      </c>
      <c r="C41" s="47">
        <f>C37</f>
        <v/>
      </c>
      <c r="F41" s="48" t="n"/>
    </row>
    <row r="42" ht="28" customHeight="1">
      <c r="B42" s="49" t="inlineStr">
        <is>
          <t>NET WORTH</t>
        </is>
      </c>
      <c r="C42" s="50">
        <f>C21-C37</f>
        <v/>
      </c>
      <c r="F42" s="51" t="n"/>
    </row>
    <row r="43" ht="28" customHeight="1">
      <c r="B43" s="52" t="inlineStr">
        <is>
          <t>Debt-to-Asset Ratio</t>
        </is>
      </c>
      <c r="C43" s="53">
        <f>IF(C21&gt;0,C37/C21,0)</f>
        <v/>
      </c>
      <c r="F43" s="54" t="n"/>
    </row>
    <row r="44" ht="28" customHeight="1">
      <c r="B44" s="55" t="inlineStr">
        <is>
          <t>Liquid Net Worth</t>
        </is>
      </c>
      <c r="C44" s="56">
        <f>SUM(C7:C14)-C37</f>
        <v/>
      </c>
      <c r="F44" s="57" t="n"/>
    </row>
  </sheetData>
  <mergeCells count="10">
    <mergeCell ref="C42:E42"/>
    <mergeCell ref="B39:F39"/>
    <mergeCell ref="C44:E44"/>
    <mergeCell ref="C41:E41"/>
    <mergeCell ref="B2:F2"/>
    <mergeCell ref="B3:F3"/>
    <mergeCell ref="B5:F5"/>
    <mergeCell ref="C40:E40"/>
    <mergeCell ref="B23:F23"/>
    <mergeCell ref="C43:E43"/>
  </mergeCells>
  <conditionalFormatting sqref="C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:D20">
    <cfRule type="colorScale" priority="3">
      <colorScale>
        <cfvo type="min"/>
        <cfvo type="max"/>
        <color rgb="00FFFFFF"/>
        <color rgb="002471A3"/>
      </colorScale>
    </cfRule>
  </conditionalFormatting>
  <conditionalFormatting sqref="E25:E36">
    <cfRule type="colorScale" priority="4">
      <colorScale>
        <cfvo type="min"/>
        <cfvo type="percentile" val="50"/>
        <cfvo type="max"/>
        <color rgb="00D5F5E3"/>
        <color rgb="00FEF9E7"/>
        <color rgb="00B03A2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71A3"/>
    <outlinePr summaryBelow="1" summaryRight="1"/>
    <pageSetUpPr/>
  </sheetPr>
  <dimension ref="B2:G63"/>
  <sheetViews>
    <sheetView showGridLines="0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7" max="7"/>
    <col width="2" customWidth="1" min="8" max="8"/>
  </cols>
  <sheetData>
    <row r="1" ht="8" customHeight="1"/>
    <row r="2" ht="44" customHeight="1">
      <c r="B2" s="23" t="inlineStr">
        <is>
          <t>MONTHLY BUDGET &amp; SAVINGS RATE</t>
        </is>
      </c>
    </row>
    <row r="3" ht="20" customHeight="1">
      <c r="B3" s="24" t="inlineStr">
        <is>
          <t>Savings Rate is the single most important variable for achieving FIRE</t>
        </is>
      </c>
    </row>
    <row r="4" ht="10" customHeight="1"/>
    <row r="5" ht="20" customHeight="1">
      <c r="B5" s="13" t="inlineStr">
        <is>
          <t>Category</t>
        </is>
      </c>
      <c r="C5" s="13" t="inlineStr">
        <is>
          <t>Budget/Month ($)</t>
        </is>
      </c>
      <c r="D5" s="13" t="inlineStr">
        <is>
          <t>Actual/Month ($)</t>
        </is>
      </c>
      <c r="E5" s="13" t="inlineStr">
        <is>
          <t>Variance ($)</t>
        </is>
      </c>
      <c r="F5" s="13" t="inlineStr">
        <is>
          <t>% of Income</t>
        </is>
      </c>
      <c r="G5" s="13" t="inlineStr">
        <is>
          <t>Annual Total ($)</t>
        </is>
      </c>
    </row>
    <row r="6" ht="22" customHeight="1">
      <c r="B6" s="58" t="inlineStr">
        <is>
          <t>INCOME</t>
        </is>
      </c>
    </row>
    <row r="7" ht="18" customHeight="1">
      <c r="B7" s="26" t="inlineStr">
        <is>
          <t>Primary Job — Net Take-Home Pay</t>
        </is>
      </c>
      <c r="C7" s="27" t="n">
        <v>6500</v>
      </c>
      <c r="D7" s="27" t="n">
        <v>6500</v>
      </c>
      <c r="E7" s="59">
        <f>D7-C7</f>
        <v/>
      </c>
      <c r="F7" s="60">
        <f>IF(C13&gt;0,C7/C13,0)</f>
        <v/>
      </c>
      <c r="G7" s="61">
        <f>C7*12</f>
        <v/>
      </c>
    </row>
    <row r="8" ht="18" customHeight="1">
      <c r="B8" s="26" t="inlineStr">
        <is>
          <t>Spouse / Partner Income</t>
        </is>
      </c>
      <c r="C8" s="27" t="n">
        <v>4000</v>
      </c>
      <c r="D8" s="27" t="n">
        <v>4000</v>
      </c>
      <c r="E8" s="59">
        <f>D8-C8</f>
        <v/>
      </c>
      <c r="F8" s="60">
        <f>IF(C13&gt;0,C8/C13,0)</f>
        <v/>
      </c>
      <c r="G8" s="61">
        <f>C8*12</f>
        <v/>
      </c>
    </row>
    <row r="9" ht="18" customHeight="1">
      <c r="B9" s="26" t="inlineStr">
        <is>
          <t>Side Hustle / Freelance</t>
        </is>
      </c>
      <c r="C9" s="27" t="n">
        <v>500</v>
      </c>
      <c r="D9" s="27" t="n">
        <v>500</v>
      </c>
      <c r="E9" s="59">
        <f>D9-C9</f>
        <v/>
      </c>
      <c r="F9" s="60">
        <f>IF(C13&gt;0,C9/C13,0)</f>
        <v/>
      </c>
      <c r="G9" s="61">
        <f>C9*12</f>
        <v/>
      </c>
    </row>
    <row r="10" ht="18" customHeight="1">
      <c r="B10" s="26" t="inlineStr">
        <is>
          <t>Rental Income</t>
        </is>
      </c>
      <c r="C10" s="27" t="n">
        <v>0</v>
      </c>
      <c r="D10" s="27" t="n">
        <v>0</v>
      </c>
      <c r="E10" s="59">
        <f>D10-C10</f>
        <v/>
      </c>
      <c r="F10" s="60">
        <f>IF(C13&gt;0,C10/C13,0)</f>
        <v/>
      </c>
      <c r="G10" s="61">
        <f>C10*12</f>
        <v/>
      </c>
    </row>
    <row r="11" ht="18" customHeight="1">
      <c r="B11" s="26" t="inlineStr">
        <is>
          <t>Dividends, Interest &amp; Capital Gains</t>
        </is>
      </c>
      <c r="C11" s="27" t="n">
        <v>200</v>
      </c>
      <c r="D11" s="27" t="n">
        <v>200</v>
      </c>
      <c r="E11" s="59">
        <f>D11-C11</f>
        <v/>
      </c>
      <c r="F11" s="60">
        <f>IF(C13&gt;0,C11/C13,0)</f>
        <v/>
      </c>
      <c r="G11" s="61">
        <f>C11*12</f>
        <v/>
      </c>
    </row>
    <row r="12" ht="18" customHeight="1">
      <c r="B12" s="26" t="inlineStr">
        <is>
          <t>Other Income</t>
        </is>
      </c>
      <c r="C12" s="27" t="n">
        <v>0</v>
      </c>
      <c r="D12" s="27" t="n">
        <v>0</v>
      </c>
      <c r="E12" s="59">
        <f>D12-C12</f>
        <v/>
      </c>
      <c r="F12" s="60">
        <f>IF(C13&gt;0,C12/C13,0)</f>
        <v/>
      </c>
      <c r="G12" s="61">
        <f>C12*12</f>
        <v/>
      </c>
    </row>
    <row r="13" ht="22" customHeight="1">
      <c r="B13" s="32" t="inlineStr">
        <is>
          <t>TOTAL MONTHLY INCOME</t>
        </is>
      </c>
      <c r="C13" s="33">
        <f>SUM(C7:C12)</f>
        <v/>
      </c>
      <c r="D13" s="33">
        <f>SUM(D7:D12)</f>
        <v/>
      </c>
      <c r="E13" s="33">
        <f>D13-C13</f>
        <v/>
      </c>
      <c r="F13" s="34" t="inlineStr">
        <is>
          <t>100.0%</t>
        </is>
      </c>
      <c r="G13" s="62">
        <f>C13*12</f>
        <v/>
      </c>
    </row>
    <row r="14" ht="8" customHeight="1"/>
    <row r="15" ht="22" customHeight="1">
      <c r="B15" s="2" t="inlineStr">
        <is>
          <t>FIXED EXPENSES</t>
        </is>
      </c>
    </row>
    <row r="16" ht="18" customHeight="1">
      <c r="B16" s="26" t="inlineStr">
        <is>
          <t>Rent / Mortgage Payment</t>
        </is>
      </c>
      <c r="C16" s="27" t="n">
        <v>2200</v>
      </c>
      <c r="D16" s="27" t="n">
        <v>2200</v>
      </c>
      <c r="E16" s="59">
        <f>D16-C16</f>
        <v/>
      </c>
      <c r="F16" s="60">
        <f>IF(C13&gt;0,C16/C13,0)</f>
        <v/>
      </c>
      <c r="G16" s="61">
        <f>C16*12</f>
        <v/>
      </c>
    </row>
    <row r="17" ht="18" customHeight="1">
      <c r="B17" s="26" t="inlineStr">
        <is>
          <t>HOA Fees</t>
        </is>
      </c>
      <c r="C17" s="27" t="n">
        <v>0</v>
      </c>
      <c r="D17" s="27" t="n">
        <v>0</v>
      </c>
      <c r="E17" s="59">
        <f>D17-C17</f>
        <v/>
      </c>
      <c r="F17" s="60">
        <f>IF(C13&gt;0,C17/C13,0)</f>
        <v/>
      </c>
      <c r="G17" s="61">
        <f>C17*12</f>
        <v/>
      </c>
    </row>
    <row r="18" ht="18" customHeight="1">
      <c r="B18" s="26" t="inlineStr">
        <is>
          <t>Homeowner's / Renter's Insurance</t>
        </is>
      </c>
      <c r="C18" s="27" t="n">
        <v>100</v>
      </c>
      <c r="D18" s="27" t="n">
        <v>100</v>
      </c>
      <c r="E18" s="59">
        <f>D18-C18</f>
        <v/>
      </c>
      <c r="F18" s="60">
        <f>IF(C13&gt;0,C18/C13,0)</f>
        <v/>
      </c>
      <c r="G18" s="61">
        <f>C18*12</f>
        <v/>
      </c>
    </row>
    <row r="19" ht="18" customHeight="1">
      <c r="B19" s="26" t="inlineStr">
        <is>
          <t>Car Payment 1</t>
        </is>
      </c>
      <c r="C19" s="27" t="n">
        <v>350</v>
      </c>
      <c r="D19" s="27" t="n">
        <v>350</v>
      </c>
      <c r="E19" s="59">
        <f>D19-C19</f>
        <v/>
      </c>
      <c r="F19" s="60">
        <f>IF(C13&gt;0,C19/C13,0)</f>
        <v/>
      </c>
      <c r="G19" s="61">
        <f>C19*12</f>
        <v/>
      </c>
    </row>
    <row r="20" ht="18" customHeight="1">
      <c r="B20" s="26" t="inlineStr">
        <is>
          <t>Car Payment 2</t>
        </is>
      </c>
      <c r="C20" s="27" t="n">
        <v>0</v>
      </c>
      <c r="D20" s="27" t="n">
        <v>0</v>
      </c>
      <c r="E20" s="59">
        <f>D20-C20</f>
        <v/>
      </c>
      <c r="F20" s="60">
        <f>IF(C13&gt;0,C20/C13,0)</f>
        <v/>
      </c>
      <c r="G20" s="61">
        <f>C20*12</f>
        <v/>
      </c>
    </row>
    <row r="21" ht="18" customHeight="1">
      <c r="B21" s="26" t="inlineStr">
        <is>
          <t>Auto Insurance</t>
        </is>
      </c>
      <c r="C21" s="27" t="n">
        <v>150</v>
      </c>
      <c r="D21" s="27" t="n">
        <v>150</v>
      </c>
      <c r="E21" s="59">
        <f>D21-C21</f>
        <v/>
      </c>
      <c r="F21" s="60">
        <f>IF(C13&gt;0,C21/C13,0)</f>
        <v/>
      </c>
      <c r="G21" s="61">
        <f>C21*12</f>
        <v/>
      </c>
    </row>
    <row r="22" ht="18" customHeight="1">
      <c r="B22" s="26" t="inlineStr">
        <is>
          <t>Health Insurance Premium</t>
        </is>
      </c>
      <c r="C22" s="27" t="n">
        <v>400</v>
      </c>
      <c r="D22" s="27" t="n">
        <v>400</v>
      </c>
      <c r="E22" s="59">
        <f>D22-C22</f>
        <v/>
      </c>
      <c r="F22" s="60">
        <f>IF(C13&gt;0,C22/C13,0)</f>
        <v/>
      </c>
      <c r="G22" s="61">
        <f>C22*12</f>
        <v/>
      </c>
    </row>
    <row r="23" ht="18" customHeight="1">
      <c r="B23" s="26" t="inlineStr">
        <is>
          <t>Life / Disability Insurance</t>
        </is>
      </c>
      <c r="C23" s="27" t="n">
        <v>50</v>
      </c>
      <c r="D23" s="27" t="n">
        <v>50</v>
      </c>
      <c r="E23" s="59">
        <f>D23-C23</f>
        <v/>
      </c>
      <c r="F23" s="60">
        <f>IF(C13&gt;0,C23/C13,0)</f>
        <v/>
      </c>
      <c r="G23" s="61">
        <f>C23*12</f>
        <v/>
      </c>
    </row>
    <row r="24" ht="18" customHeight="1">
      <c r="B24" s="26" t="inlineStr">
        <is>
          <t>Internet</t>
        </is>
      </c>
      <c r="C24" s="27" t="n">
        <v>80</v>
      </c>
      <c r="D24" s="27" t="n">
        <v>80</v>
      </c>
      <c r="E24" s="59">
        <f>D24-C24</f>
        <v/>
      </c>
      <c r="F24" s="60">
        <f>IF(C13&gt;0,C24/C13,0)</f>
        <v/>
      </c>
      <c r="G24" s="61">
        <f>C24*12</f>
        <v/>
      </c>
    </row>
    <row r="25" ht="18" customHeight="1">
      <c r="B25" s="26" t="inlineStr">
        <is>
          <t>Phone</t>
        </is>
      </c>
      <c r="C25" s="27" t="n">
        <v>85</v>
      </c>
      <c r="D25" s="27" t="n">
        <v>85</v>
      </c>
      <c r="E25" s="59">
        <f>D25-C25</f>
        <v/>
      </c>
      <c r="F25" s="60">
        <f>IF(C13&gt;0,C25/C13,0)</f>
        <v/>
      </c>
      <c r="G25" s="61">
        <f>C25*12</f>
        <v/>
      </c>
    </row>
    <row r="26" ht="18" customHeight="1">
      <c r="B26" s="26" t="inlineStr">
        <is>
          <t>Streaming Subscriptions</t>
        </is>
      </c>
      <c r="C26" s="27" t="n">
        <v>50</v>
      </c>
      <c r="D26" s="27" t="n">
        <v>50</v>
      </c>
      <c r="E26" s="59">
        <f>D26-C26</f>
        <v/>
      </c>
      <c r="F26" s="60">
        <f>IF(C13&gt;0,C26/C13,0)</f>
        <v/>
      </c>
      <c r="G26" s="61">
        <f>C26*12</f>
        <v/>
      </c>
    </row>
    <row r="27" ht="18" customHeight="1">
      <c r="B27" s="26" t="inlineStr">
        <is>
          <t>Gym / Fitness Membership</t>
        </is>
      </c>
      <c r="C27" s="27" t="n">
        <v>40</v>
      </c>
      <c r="D27" s="27" t="n">
        <v>40</v>
      </c>
      <c r="E27" s="59">
        <f>D27-C27</f>
        <v/>
      </c>
      <c r="F27" s="60">
        <f>IF(C13&gt;0,C27/C13,0)</f>
        <v/>
      </c>
      <c r="G27" s="61">
        <f>C27*12</f>
        <v/>
      </c>
    </row>
    <row r="28" ht="22" customHeight="1">
      <c r="B28" s="63" t="inlineStr">
        <is>
          <t>TOTAL FIXED EXPENSES</t>
        </is>
      </c>
      <c r="C28" s="64">
        <f>SUM(C16:C27)</f>
        <v/>
      </c>
      <c r="D28" s="64">
        <f>SUM(D16:D27)</f>
        <v/>
      </c>
      <c r="E28" s="64">
        <f>D28-C28</f>
        <v/>
      </c>
      <c r="F28" s="65">
        <f>IF(C13&gt;0,C28/C13,0)</f>
        <v/>
      </c>
      <c r="G28" s="66">
        <f>C28*12</f>
        <v/>
      </c>
    </row>
    <row r="29" ht="8" customHeight="1"/>
    <row r="30" ht="22" customHeight="1">
      <c r="B30" s="67" t="inlineStr">
        <is>
          <t>VARIABLE EXPENSES</t>
        </is>
      </c>
    </row>
    <row r="31" ht="18" customHeight="1">
      <c r="B31" s="26" t="inlineStr">
        <is>
          <t>Groceries &amp; Household Supplies</t>
        </is>
      </c>
      <c r="C31" s="27" t="n">
        <v>600</v>
      </c>
      <c r="D31" s="27" t="n">
        <v>600</v>
      </c>
      <c r="E31" s="59">
        <f>D31-C31</f>
        <v/>
      </c>
      <c r="F31" s="60">
        <f>IF(C13&gt;0,C31/C13,0)</f>
        <v/>
      </c>
      <c r="G31" s="61">
        <f>C31*12</f>
        <v/>
      </c>
    </row>
    <row r="32" ht="18" customHeight="1">
      <c r="B32" s="26" t="inlineStr">
        <is>
          <t>Dining Out &amp; Takeout</t>
        </is>
      </c>
      <c r="C32" s="27" t="n">
        <v>200</v>
      </c>
      <c r="D32" s="27" t="n">
        <v>200</v>
      </c>
      <c r="E32" s="59">
        <f>D32-C32</f>
        <v/>
      </c>
      <c r="F32" s="60">
        <f>IF(C13&gt;0,C32/C13,0)</f>
        <v/>
      </c>
      <c r="G32" s="61">
        <f>C32*12</f>
        <v/>
      </c>
    </row>
    <row r="33" ht="18" customHeight="1">
      <c r="B33" s="26" t="inlineStr">
        <is>
          <t>Gas &amp; Transportation</t>
        </is>
      </c>
      <c r="C33" s="27" t="n">
        <v>150</v>
      </c>
      <c r="D33" s="27" t="n">
        <v>150</v>
      </c>
      <c r="E33" s="59">
        <f>D33-C33</f>
        <v/>
      </c>
      <c r="F33" s="60">
        <f>IF(C13&gt;0,C33/C13,0)</f>
        <v/>
      </c>
      <c r="G33" s="61">
        <f>C33*12</f>
        <v/>
      </c>
    </row>
    <row r="34" ht="18" customHeight="1">
      <c r="B34" s="26" t="inlineStr">
        <is>
          <t>Parking, Tolls &amp; Rideshare</t>
        </is>
      </c>
      <c r="C34" s="27" t="n">
        <v>30</v>
      </c>
      <c r="D34" s="27" t="n">
        <v>30</v>
      </c>
      <c r="E34" s="59">
        <f>D34-C34</f>
        <v/>
      </c>
      <c r="F34" s="60">
        <f>IF(C13&gt;0,C34/C13,0)</f>
        <v/>
      </c>
      <c r="G34" s="61">
        <f>C34*12</f>
        <v/>
      </c>
    </row>
    <row r="35" ht="18" customHeight="1">
      <c r="B35" s="26" t="inlineStr">
        <is>
          <t>Clothing &amp; Apparel</t>
        </is>
      </c>
      <c r="C35" s="27" t="n">
        <v>100</v>
      </c>
      <c r="D35" s="27" t="n">
        <v>100</v>
      </c>
      <c r="E35" s="59">
        <f>D35-C35</f>
        <v/>
      </c>
      <c r="F35" s="60">
        <f>IF(C13&gt;0,C35/C13,0)</f>
        <v/>
      </c>
      <c r="G35" s="61">
        <f>C35*12</f>
        <v/>
      </c>
    </row>
    <row r="36" ht="18" customHeight="1">
      <c r="B36" s="26" t="inlineStr">
        <is>
          <t>Entertainment &amp; Recreation</t>
        </is>
      </c>
      <c r="C36" s="27" t="n">
        <v>100</v>
      </c>
      <c r="D36" s="27" t="n">
        <v>100</v>
      </c>
      <c r="E36" s="59">
        <f>D36-C36</f>
        <v/>
      </c>
      <c r="F36" s="60">
        <f>IF(C13&gt;0,C36/C13,0)</f>
        <v/>
      </c>
      <c r="G36" s="61">
        <f>C36*12</f>
        <v/>
      </c>
    </row>
    <row r="37" ht="18" customHeight="1">
      <c r="B37" s="26" t="inlineStr">
        <is>
          <t>Travel &amp; Vacation</t>
        </is>
      </c>
      <c r="C37" s="27" t="n">
        <v>200</v>
      </c>
      <c r="D37" s="27" t="n">
        <v>200</v>
      </c>
      <c r="E37" s="59">
        <f>D37-C37</f>
        <v/>
      </c>
      <c r="F37" s="60">
        <f>IF(C13&gt;0,C37/C13,0)</f>
        <v/>
      </c>
      <c r="G37" s="61">
        <f>C37*12</f>
        <v/>
      </c>
    </row>
    <row r="38" ht="18" customHeight="1">
      <c r="B38" s="26" t="inlineStr">
        <is>
          <t>Personal Care &amp; Beauty</t>
        </is>
      </c>
      <c r="C38" s="27" t="n">
        <v>80</v>
      </c>
      <c r="D38" s="27" t="n">
        <v>80</v>
      </c>
      <c r="E38" s="59">
        <f>D38-C38</f>
        <v/>
      </c>
      <c r="F38" s="60">
        <f>IF(C13&gt;0,C38/C13,0)</f>
        <v/>
      </c>
      <c r="G38" s="61">
        <f>C38*12</f>
        <v/>
      </c>
    </row>
    <row r="39" ht="18" customHeight="1">
      <c r="B39" s="26" t="inlineStr">
        <is>
          <t>Medical, Dental &amp; Pharmacy</t>
        </is>
      </c>
      <c r="C39" s="27" t="n">
        <v>50</v>
      </c>
      <c r="D39" s="27" t="n">
        <v>50</v>
      </c>
      <c r="E39" s="59">
        <f>D39-C39</f>
        <v/>
      </c>
      <c r="F39" s="60">
        <f>IF(C13&gt;0,C39/C13,0)</f>
        <v/>
      </c>
      <c r="G39" s="61">
        <f>C39*12</f>
        <v/>
      </c>
    </row>
    <row r="40" ht="18" customHeight="1">
      <c r="B40" s="26" t="inlineStr">
        <is>
          <t>Home Maintenance &amp; Repairs</t>
        </is>
      </c>
      <c r="C40" s="27" t="n">
        <v>100</v>
      </c>
      <c r="D40" s="27" t="n">
        <v>100</v>
      </c>
      <c r="E40" s="59">
        <f>D40-C40</f>
        <v/>
      </c>
      <c r="F40" s="60">
        <f>IF(C13&gt;0,C40/C13,0)</f>
        <v/>
      </c>
      <c r="G40" s="61">
        <f>C40*12</f>
        <v/>
      </c>
    </row>
    <row r="41" ht="18" customHeight="1">
      <c r="B41" s="26" t="inlineStr">
        <is>
          <t>Gifts &amp; Charitable Donations</t>
        </is>
      </c>
      <c r="C41" s="27" t="n">
        <v>75</v>
      </c>
      <c r="D41" s="27" t="n">
        <v>75</v>
      </c>
      <c r="E41" s="59">
        <f>D41-C41</f>
        <v/>
      </c>
      <c r="F41" s="60">
        <f>IF(C13&gt;0,C41/C13,0)</f>
        <v/>
      </c>
      <c r="G41" s="61">
        <f>C41*12</f>
        <v/>
      </c>
    </row>
    <row r="42" ht="18" customHeight="1">
      <c r="B42" s="26" t="inlineStr">
        <is>
          <t>Pet Expenses</t>
        </is>
      </c>
      <c r="C42" s="27" t="n">
        <v>0</v>
      </c>
      <c r="D42" s="27" t="n">
        <v>0</v>
      </c>
      <c r="E42" s="59">
        <f>D42-C42</f>
        <v/>
      </c>
      <c r="F42" s="60">
        <f>IF(C13&gt;0,C42/C13,0)</f>
        <v/>
      </c>
      <c r="G42" s="61">
        <f>C42*12</f>
        <v/>
      </c>
    </row>
    <row r="43" ht="18" customHeight="1">
      <c r="B43" s="26" t="inlineStr">
        <is>
          <t>Childcare &amp; Education</t>
        </is>
      </c>
      <c r="C43" s="27" t="n">
        <v>0</v>
      </c>
      <c r="D43" s="27" t="n">
        <v>0</v>
      </c>
      <c r="E43" s="59">
        <f>D43-C43</f>
        <v/>
      </c>
      <c r="F43" s="60">
        <f>IF(C13&gt;0,C43/C13,0)</f>
        <v/>
      </c>
      <c r="G43" s="61">
        <f>C43*12</f>
        <v/>
      </c>
    </row>
    <row r="44" ht="18" customHeight="1">
      <c r="B44" s="26" t="inlineStr">
        <is>
          <t>Miscellaneous / Catch-All</t>
        </is>
      </c>
      <c r="C44" s="27" t="n">
        <v>100</v>
      </c>
      <c r="D44" s="27" t="n">
        <v>100</v>
      </c>
      <c r="E44" s="59">
        <f>D44-C44</f>
        <v/>
      </c>
      <c r="F44" s="60">
        <f>IF(C13&gt;0,C44/C13,0)</f>
        <v/>
      </c>
      <c r="G44" s="61">
        <f>C44*12</f>
        <v/>
      </c>
    </row>
    <row r="45" ht="22" customHeight="1">
      <c r="B45" s="68" t="inlineStr">
        <is>
          <t>TOTAL VARIABLE EXPENSES</t>
        </is>
      </c>
      <c r="C45" s="69">
        <f>SUM(C31:C44)</f>
        <v/>
      </c>
      <c r="D45" s="69">
        <f>SUM(D31:D44)</f>
        <v/>
      </c>
      <c r="E45" s="69">
        <f>D45-C45</f>
        <v/>
      </c>
      <c r="F45" s="70">
        <f>IF(C13&gt;0,C45/C13,0)</f>
        <v/>
      </c>
      <c r="G45" s="71">
        <f>C45*12</f>
        <v/>
      </c>
    </row>
    <row r="46" ht="8" customHeight="1"/>
    <row r="47" ht="22" customHeight="1">
      <c r="B47" s="72" t="inlineStr">
        <is>
          <t>SAVINGS &amp; INVESTMENTS</t>
        </is>
      </c>
    </row>
    <row r="48" ht="18" customHeight="1">
      <c r="B48" s="26" t="inlineStr">
        <is>
          <t>401(k) / 403(b) Contribution</t>
        </is>
      </c>
      <c r="C48" s="27" t="n">
        <v>1000</v>
      </c>
      <c r="D48" s="27" t="n">
        <v>1000</v>
      </c>
      <c r="E48" s="59">
        <f>D48-C48</f>
        <v/>
      </c>
      <c r="F48" s="60">
        <f>IF(C13&gt;0,C48/C13,0)</f>
        <v/>
      </c>
      <c r="G48" s="61">
        <f>C48*12</f>
        <v/>
      </c>
    </row>
    <row r="49" ht="18" customHeight="1">
      <c r="B49" s="26" t="inlineStr">
        <is>
          <t>Roth IRA Contribution</t>
        </is>
      </c>
      <c r="C49" s="27" t="n">
        <v>500</v>
      </c>
      <c r="D49" s="27" t="n">
        <v>500</v>
      </c>
      <c r="E49" s="59">
        <f>D49-C49</f>
        <v/>
      </c>
      <c r="F49" s="60">
        <f>IF(C13&gt;0,C49/C13,0)</f>
        <v/>
      </c>
      <c r="G49" s="61">
        <f>C49*12</f>
        <v/>
      </c>
    </row>
    <row r="50" ht="18" customHeight="1">
      <c r="B50" s="26" t="inlineStr">
        <is>
          <t>HSA Contribution</t>
        </is>
      </c>
      <c r="C50" s="27" t="n">
        <v>300</v>
      </c>
      <c r="D50" s="27" t="n">
        <v>300</v>
      </c>
      <c r="E50" s="59">
        <f>D50-C50</f>
        <v/>
      </c>
      <c r="F50" s="60">
        <f>IF(C13&gt;0,C50/C13,0)</f>
        <v/>
      </c>
      <c r="G50" s="61">
        <f>C50*12</f>
        <v/>
      </c>
    </row>
    <row r="51" ht="18" customHeight="1">
      <c r="B51" s="26" t="inlineStr">
        <is>
          <t>Taxable Brokerage Investment</t>
        </is>
      </c>
      <c r="C51" s="27" t="n">
        <v>500</v>
      </c>
      <c r="D51" s="27" t="n">
        <v>500</v>
      </c>
      <c r="E51" s="59">
        <f>D51-C51</f>
        <v/>
      </c>
      <c r="F51" s="60">
        <f>IF(C13&gt;0,C51/C13,0)</f>
        <v/>
      </c>
      <c r="G51" s="61">
        <f>C51*12</f>
        <v/>
      </c>
    </row>
    <row r="52" ht="18" customHeight="1">
      <c r="B52" s="26" t="inlineStr">
        <is>
          <t>Emergency Fund Top-Up</t>
        </is>
      </c>
      <c r="C52" s="27" t="n">
        <v>200</v>
      </c>
      <c r="D52" s="27" t="n">
        <v>200</v>
      </c>
      <c r="E52" s="59">
        <f>D52-C52</f>
        <v/>
      </c>
      <c r="F52" s="60">
        <f>IF(C13&gt;0,C52/C13,0)</f>
        <v/>
      </c>
      <c r="G52" s="61">
        <f>C52*12</f>
        <v/>
      </c>
    </row>
    <row r="53" ht="18" customHeight="1">
      <c r="B53" s="26" t="inlineStr">
        <is>
          <t>House / Goal Savings Fund</t>
        </is>
      </c>
      <c r="C53" s="27" t="n">
        <v>0</v>
      </c>
      <c r="D53" s="27" t="n">
        <v>0</v>
      </c>
      <c r="E53" s="59">
        <f>D53-C53</f>
        <v/>
      </c>
      <c r="F53" s="60">
        <f>IF(C13&gt;0,C53/C13,0)</f>
        <v/>
      </c>
      <c r="G53" s="61">
        <f>C53*12</f>
        <v/>
      </c>
    </row>
    <row r="54" ht="18" customHeight="1">
      <c r="B54" s="26" t="inlineStr">
        <is>
          <t>Other Savings / Sinking Funds</t>
        </is>
      </c>
      <c r="C54" s="27" t="n">
        <v>0</v>
      </c>
      <c r="D54" s="27" t="n">
        <v>0</v>
      </c>
      <c r="E54" s="59">
        <f>D54-C54</f>
        <v/>
      </c>
      <c r="F54" s="60">
        <f>IF(C13&gt;0,C54/C13,0)</f>
        <v/>
      </c>
      <c r="G54" s="61">
        <f>C54*12</f>
        <v/>
      </c>
    </row>
    <row r="55" ht="22" customHeight="1">
      <c r="B55" s="73" t="inlineStr">
        <is>
          <t>TOTAL SAVINGS &amp; INVESTMENTS</t>
        </is>
      </c>
      <c r="C55" s="74">
        <f>SUM(C48:C54)</f>
        <v/>
      </c>
      <c r="D55" s="74">
        <f>SUM(D48:D54)</f>
        <v/>
      </c>
      <c r="E55" s="74">
        <f>D55-C55</f>
        <v/>
      </c>
      <c r="F55" s="75">
        <f>IF(C13&gt;0,C55/C13,0)</f>
        <v/>
      </c>
      <c r="G55" s="76">
        <f>C55*12</f>
        <v/>
      </c>
    </row>
    <row r="56" ht="12" customHeight="1"/>
    <row r="57" ht="26" customHeight="1">
      <c r="B57" s="42" t="inlineStr">
        <is>
          <t>SAVINGS RATE SUMMARY</t>
        </is>
      </c>
    </row>
    <row r="58" ht="26" customHeight="1">
      <c r="B58" s="77" t="inlineStr">
        <is>
          <t>Total Monthly Income</t>
        </is>
      </c>
      <c r="C58" s="44">
        <f>C13</f>
        <v/>
      </c>
      <c r="F58" s="78">
        <f>C58*12</f>
        <v/>
      </c>
      <c r="G58" s="78">
        <f>C58*12</f>
        <v/>
      </c>
    </row>
    <row r="59" ht="26" customHeight="1">
      <c r="B59" s="79" t="inlineStr">
        <is>
          <t>Total Monthly Expenses</t>
        </is>
      </c>
      <c r="C59" s="47">
        <f>C28+C45</f>
        <v/>
      </c>
      <c r="F59" s="80">
        <f>C59*12</f>
        <v/>
      </c>
      <c r="G59" s="80">
        <f>C59*12</f>
        <v/>
      </c>
    </row>
    <row r="60" ht="26" customHeight="1">
      <c r="B60" s="81" t="inlineStr">
        <is>
          <t>Total Monthly Savings</t>
        </is>
      </c>
      <c r="C60" s="82">
        <f>C55</f>
        <v/>
      </c>
      <c r="F60" s="83">
        <f>C60*12</f>
        <v/>
      </c>
      <c r="G60" s="83">
        <f>C60*12</f>
        <v/>
      </c>
    </row>
    <row r="61" ht="26" customHeight="1">
      <c r="B61" s="84" t="inlineStr">
        <is>
          <t>Surplus / Unallocated</t>
        </is>
      </c>
      <c r="C61" s="85">
        <f>C13-C28-C45-C55</f>
        <v/>
      </c>
      <c r="F61" s="86">
        <f>C61*12</f>
        <v/>
      </c>
      <c r="G61" s="86">
        <f>C61*12</f>
        <v/>
      </c>
    </row>
    <row r="62" ht="26" customHeight="1">
      <c r="B62" s="87" t="inlineStr">
        <is>
          <t>SAVINGS RATE</t>
        </is>
      </c>
      <c r="C62" s="88">
        <f>IF(C13&gt;0,C55/C13,0)</f>
        <v/>
      </c>
      <c r="F62" s="89">
        <f>IF(C62&gt;0,C62*100,0)</f>
        <v/>
      </c>
      <c r="G62" s="90">
        <f>IF(C62&gt;=0.5,"🔥 Excellent!",IF(C62&gt;=0.3,"✅ On Track",IF(C62&gt;=0.2,"⚠️ Improve","❌ Critical")))</f>
        <v/>
      </c>
    </row>
    <row r="63" ht="26" customHeight="1">
      <c r="B63" s="91" t="inlineStr">
        <is>
          <t>FIRE Projected Savings Rate Target</t>
        </is>
      </c>
      <c r="C63" s="92" t="inlineStr">
        <is>
          <t>50.0%</t>
        </is>
      </c>
      <c r="F63" s="93">
        <f>IF(C63&gt;0,C63*100,0)</f>
        <v/>
      </c>
      <c r="G63" s="94">
        <f>IF(C63&gt;=0.5,"🔥 Excellent!",IF(C63&gt;=0.3,"✅ On Track",IF(C63&gt;=0.2,"⚠️ Improve","❌ Critical")))</f>
        <v/>
      </c>
    </row>
  </sheetData>
  <mergeCells count="13">
    <mergeCell ref="B3:G3"/>
    <mergeCell ref="B2:G2"/>
    <mergeCell ref="B47:G47"/>
    <mergeCell ref="C58:E58"/>
    <mergeCell ref="C60:E60"/>
    <mergeCell ref="C61:E61"/>
    <mergeCell ref="B57:G57"/>
    <mergeCell ref="C62:E62"/>
    <mergeCell ref="C59:E59"/>
    <mergeCell ref="B30:G30"/>
    <mergeCell ref="B15:G15"/>
    <mergeCell ref="C63:E63"/>
    <mergeCell ref="B6:G6"/>
  </mergeCells>
  <conditionalFormatting sqref="C62">
    <cfRule type="cellIs" priority="1" operator="greaterThanOrEqual" dxfId="0">
      <formula>0.5</formula>
    </cfRule>
    <cfRule type="cellIs" priority="2" operator="between" dxfId="2">
      <formula>0.2</formula>
      <formula>0.499</formula>
    </cfRule>
    <cfRule type="cellIs" priority="3" operator="lessThan" dxfId="1">
      <formula>0.2</formula>
    </cfRule>
  </conditionalFormatting>
  <conditionalFormatting sqref="E16:E44">
    <cfRule type="colorScale" priority="4">
      <colorScale>
        <cfvo type="min"/>
        <cfvo type="num" val="0"/>
        <cfvo type="max"/>
        <color rgb="00D5F5E3"/>
        <color rgb="00FFFFFF"/>
        <color rgb="00B03A2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C0D"/>
    <outlinePr summaryBelow="1" summaryRight="1"/>
    <pageSetUpPr/>
  </sheetPr>
  <dimension ref="B2:I68"/>
  <sheetViews>
    <sheetView showGridLines="0" zoomScale="95"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8" customHeight="1"/>
    <row r="2" ht="44" customHeight="1">
      <c r="B2" s="23" t="inlineStr">
        <is>
          <t>INVESTMENT GROWTH PROJECTIONS</t>
        </is>
      </c>
    </row>
    <row r="3" ht="20" customHeight="1">
      <c r="B3" s="24" t="inlineStr">
        <is>
          <t>"Compound interest is the eighth wonder of the world. He who understands it, earns it." — Einstein</t>
        </is>
      </c>
    </row>
    <row r="4" ht="10" customHeight="1"/>
    <row r="5" ht="22" customHeight="1">
      <c r="B5" s="95" t="inlineStr">
        <is>
          <t>INPUT PARAMETERS  (yellow = edit me)</t>
        </is>
      </c>
      <c r="F5" s="58" t="inlineStr">
        <is>
          <t>FIRE TARGETS</t>
        </is>
      </c>
    </row>
    <row r="6" ht="22" customHeight="1">
      <c r="B6" s="96" t="inlineStr">
        <is>
          <t>Current Age</t>
        </is>
      </c>
      <c r="C6" s="97" t="n">
        <v>32</v>
      </c>
      <c r="D6" s="98" t="inlineStr">
        <is>
          <t>← edit</t>
        </is>
      </c>
      <c r="F6" s="99" t="inlineStr">
        <is>
          <t>Lean FIRE  (20× expenses)</t>
        </is>
      </c>
      <c r="G6" s="100">
        <f>C13*20</f>
        <v/>
      </c>
    </row>
    <row r="7" ht="22" customHeight="1">
      <c r="B7" s="96" t="inlineStr">
        <is>
          <t>Annual Return Rate (nominal)</t>
        </is>
      </c>
      <c r="C7" s="101" t="n">
        <v>0.08</v>
      </c>
      <c r="D7" s="98" t="inlineStr">
        <is>
          <t>← edit</t>
        </is>
      </c>
      <c r="F7" s="99" t="inlineStr">
        <is>
          <t>Standard FIRE  (25× expenses)</t>
        </is>
      </c>
      <c r="G7" s="100">
        <f>C13*25</f>
        <v/>
      </c>
    </row>
    <row r="8" ht="22" customHeight="1">
      <c r="B8" s="96" t="inlineStr">
        <is>
          <t>Inflation Rate</t>
        </is>
      </c>
      <c r="C8" s="101" t="n">
        <v>0.03</v>
      </c>
      <c r="D8" s="98" t="inlineStr">
        <is>
          <t>← edit</t>
        </is>
      </c>
      <c r="F8" s="99" t="inlineStr">
        <is>
          <t>Fat FIRE  (33× expenses)</t>
        </is>
      </c>
      <c r="G8" s="100">
        <f>C13*33</f>
        <v/>
      </c>
    </row>
    <row r="9" ht="22" customHeight="1">
      <c r="B9" s="96" t="inlineStr">
        <is>
          <t>Real Return Rate (nom - inflation)</t>
        </is>
      </c>
      <c r="C9" s="102">
        <f>C7-C8</f>
        <v/>
      </c>
      <c r="D9" s="98" t="inlineStr">
        <is>
          <t>← auto-calculated</t>
        </is>
      </c>
      <c r="F9" s="99" t="inlineStr">
        <is>
          <t>Barista FIRE  (15× expenses)</t>
        </is>
      </c>
      <c r="G9" s="100">
        <f>C13*15</f>
        <v/>
      </c>
    </row>
    <row r="10" ht="22" customHeight="1">
      <c r="B10" s="96" t="inlineStr">
        <is>
          <t>Starting Portfolio Value ($)</t>
        </is>
      </c>
      <c r="C10" s="103" t="n">
        <v>50000</v>
      </c>
      <c r="D10" s="98" t="inlineStr">
        <is>
          <t>← edit</t>
        </is>
      </c>
      <c r="F10" s="99" t="inlineStr">
        <is>
          <t>Annual Expenses  (from Budget)</t>
        </is>
      </c>
      <c r="G10" s="100">
        <f>C13</f>
        <v/>
      </c>
    </row>
    <row r="11" ht="22" customHeight="1">
      <c r="B11" s="96" t="inlineStr">
        <is>
          <t>Monthly Contribution ($)</t>
        </is>
      </c>
      <c r="C11" s="103" t="n">
        <v>2000</v>
      </c>
      <c r="D11" s="98" t="inlineStr">
        <is>
          <t>← edit</t>
        </is>
      </c>
      <c r="F11" s="99" t="inlineStr">
        <is>
          <t>Monthly Income Needed (FIRE)</t>
        </is>
      </c>
      <c r="G11" s="100">
        <f>C14*0.04/12</f>
        <v/>
      </c>
    </row>
    <row r="12" ht="22" customHeight="1">
      <c r="B12" s="96" t="inlineStr">
        <is>
          <t>Target Retirement Age</t>
        </is>
      </c>
      <c r="C12" s="97" t="n">
        <v>50</v>
      </c>
      <c r="D12" s="98" t="inlineStr">
        <is>
          <t>← edit</t>
        </is>
      </c>
      <c r="F12" s="99" t="inlineStr">
        <is>
          <t>Projected Value at Retirement</t>
        </is>
      </c>
      <c r="G12" s="100">
        <f>IFERROR(INDEX(G19:G68,MATCH(C12,C19:C68,0)),0)</f>
        <v/>
      </c>
    </row>
    <row r="13" ht="22" customHeight="1">
      <c r="B13" s="96" t="inlineStr">
        <is>
          <t>Annual Retirement Expenses ($)</t>
        </is>
      </c>
      <c r="C13" s="104">
        <f>'Budget &amp; Savings'!C28*12+'Budget &amp; Savings'!C45*12</f>
        <v/>
      </c>
      <c r="D13" s="98" t="inlineStr">
        <is>
          <t>← auto-calculated</t>
        </is>
      </c>
      <c r="F13" s="99" t="inlineStr">
        <is>
          <t>FI Progress % Today</t>
        </is>
      </c>
      <c r="G13" s="105">
        <f>IFERROR('Net Worth'!C42/C14,0)</f>
        <v/>
      </c>
    </row>
    <row r="14" ht="22" customHeight="1">
      <c r="B14" s="96" t="inlineStr">
        <is>
          <t>FIRE Number  (25× annual expenses)</t>
        </is>
      </c>
      <c r="C14" s="104">
        <f>C13*25</f>
        <v/>
      </c>
      <c r="D14" s="98" t="inlineStr">
        <is>
          <t>← auto-calculated</t>
        </is>
      </c>
      <c r="F14" s="99" t="inlineStr">
        <is>
          <t>Savings Rate (from Budget)</t>
        </is>
      </c>
      <c r="G14" s="105">
        <f>'Budget &amp; Savings'!C62</f>
        <v/>
      </c>
    </row>
    <row r="15" ht="22" customHeight="1">
      <c r="B15" s="96" t="inlineStr">
        <is>
          <t>Years to FIRE</t>
        </is>
      </c>
      <c r="C15" s="106">
        <f>C12-C6</f>
        <v/>
      </c>
      <c r="D15" s="98" t="inlineStr">
        <is>
          <t>← auto-calculated</t>
        </is>
      </c>
      <c r="F15" s="99" t="inlineStr">
        <is>
          <t>Monthly Contributions × 12</t>
        </is>
      </c>
      <c r="G15" s="100">
        <f>C11*12</f>
        <v/>
      </c>
    </row>
    <row r="16" ht="10" customHeight="1"/>
    <row r="17" ht="22" customHeight="1">
      <c r="B17" s="95" t="inlineStr">
        <is>
          <t>YEAR-BY-YEAR COMPOUND GROWTH PROJECTION  (50 Years)</t>
        </is>
      </c>
    </row>
    <row r="18" ht="20" customHeight="1">
      <c r="B18" s="13" t="inlineStr">
        <is>
          <t>Year</t>
        </is>
      </c>
      <c r="C18" s="13" t="inlineStr">
        <is>
          <t>Age</t>
        </is>
      </c>
      <c r="D18" s="13" t="inlineStr">
        <is>
          <t>Opening Balance</t>
        </is>
      </c>
      <c r="E18" s="13" t="inlineStr">
        <is>
          <t>Annual Contributions</t>
        </is>
      </c>
      <c r="F18" s="13" t="inlineStr">
        <is>
          <t>Investment Return</t>
        </is>
      </c>
      <c r="G18" s="13" t="inlineStr">
        <is>
          <t>Closing Balance</t>
        </is>
      </c>
      <c r="H18" s="13" t="inlineStr">
        <is>
          <t>FIRE Target</t>
        </is>
      </c>
      <c r="I18" s="13" t="inlineStr">
        <is>
          <t>FI %</t>
        </is>
      </c>
    </row>
    <row r="19" ht="16" customHeight="1">
      <c r="B19" s="107" t="n">
        <v>1</v>
      </c>
      <c r="C19" s="108">
        <f>C6+1</f>
        <v/>
      </c>
      <c r="D19" s="109">
        <f>C10</f>
        <v/>
      </c>
      <c r="E19" s="109">
        <f>C11*12</f>
        <v/>
      </c>
      <c r="F19" s="110">
        <f>(D19+E19/2)*C7</f>
        <v/>
      </c>
      <c r="G19" s="111">
        <f>D19+E19+F19</f>
        <v/>
      </c>
      <c r="H19" s="112">
        <f>C14</f>
        <v/>
      </c>
      <c r="I19" s="113">
        <f>IF(H19&gt;0,G19/H19,0)</f>
        <v/>
      </c>
    </row>
    <row r="20" ht="16" customHeight="1">
      <c r="B20" s="114" t="n">
        <v>2</v>
      </c>
      <c r="C20" s="114">
        <f>C6+2</f>
        <v/>
      </c>
      <c r="D20" s="115">
        <f>G19</f>
        <v/>
      </c>
      <c r="E20" s="115">
        <f>C11*12</f>
        <v/>
      </c>
      <c r="F20" s="116">
        <f>(D20+E20/2)*C7</f>
        <v/>
      </c>
      <c r="G20" s="117">
        <f>D20+E20+F20</f>
        <v/>
      </c>
      <c r="H20" s="118">
        <f>C14</f>
        <v/>
      </c>
      <c r="I20" s="119">
        <f>IF(H20&gt;0,G20/H20,0)</f>
        <v/>
      </c>
    </row>
    <row r="21" ht="16" customHeight="1">
      <c r="B21" s="108" t="n">
        <v>3</v>
      </c>
      <c r="C21" s="108">
        <f>C6+3</f>
        <v/>
      </c>
      <c r="D21" s="109">
        <f>G20</f>
        <v/>
      </c>
      <c r="E21" s="109">
        <f>C11*12</f>
        <v/>
      </c>
      <c r="F21" s="110">
        <f>(D21+E21/2)*C7</f>
        <v/>
      </c>
      <c r="G21" s="111">
        <f>D21+E21+F21</f>
        <v/>
      </c>
      <c r="H21" s="112">
        <f>C14</f>
        <v/>
      </c>
      <c r="I21" s="113">
        <f>IF(H21&gt;0,G21/H21,0)</f>
        <v/>
      </c>
    </row>
    <row r="22" ht="16" customHeight="1">
      <c r="B22" s="114" t="n">
        <v>4</v>
      </c>
      <c r="C22" s="114">
        <f>C6+4</f>
        <v/>
      </c>
      <c r="D22" s="115">
        <f>G21</f>
        <v/>
      </c>
      <c r="E22" s="115">
        <f>C11*12</f>
        <v/>
      </c>
      <c r="F22" s="116">
        <f>(D22+E22/2)*C7</f>
        <v/>
      </c>
      <c r="G22" s="117">
        <f>D22+E22+F22</f>
        <v/>
      </c>
      <c r="H22" s="118">
        <f>C14</f>
        <v/>
      </c>
      <c r="I22" s="119">
        <f>IF(H22&gt;0,G22/H22,0)</f>
        <v/>
      </c>
    </row>
    <row r="23" ht="16" customHeight="1">
      <c r="B23" s="108" t="n">
        <v>5</v>
      </c>
      <c r="C23" s="108">
        <f>C6+5</f>
        <v/>
      </c>
      <c r="D23" s="109">
        <f>G22</f>
        <v/>
      </c>
      <c r="E23" s="109">
        <f>C11*12</f>
        <v/>
      </c>
      <c r="F23" s="110">
        <f>(D23+E23/2)*C7</f>
        <v/>
      </c>
      <c r="G23" s="111">
        <f>D23+E23+F23</f>
        <v/>
      </c>
      <c r="H23" s="112">
        <f>C14</f>
        <v/>
      </c>
      <c r="I23" s="113">
        <f>IF(H23&gt;0,G23/H23,0)</f>
        <v/>
      </c>
    </row>
    <row r="24" ht="16" customHeight="1">
      <c r="B24" s="114" t="n">
        <v>6</v>
      </c>
      <c r="C24" s="114">
        <f>C6+6</f>
        <v/>
      </c>
      <c r="D24" s="115">
        <f>G23</f>
        <v/>
      </c>
      <c r="E24" s="115">
        <f>C11*12</f>
        <v/>
      </c>
      <c r="F24" s="116">
        <f>(D24+E24/2)*C7</f>
        <v/>
      </c>
      <c r="G24" s="117">
        <f>D24+E24+F24</f>
        <v/>
      </c>
      <c r="H24" s="118">
        <f>C14</f>
        <v/>
      </c>
      <c r="I24" s="119">
        <f>IF(H24&gt;0,G24/H24,0)</f>
        <v/>
      </c>
    </row>
    <row r="25" ht="16" customHeight="1">
      <c r="B25" s="108" t="n">
        <v>7</v>
      </c>
      <c r="C25" s="108">
        <f>C6+7</f>
        <v/>
      </c>
      <c r="D25" s="109">
        <f>G24</f>
        <v/>
      </c>
      <c r="E25" s="109">
        <f>C11*12</f>
        <v/>
      </c>
      <c r="F25" s="110">
        <f>(D25+E25/2)*C7</f>
        <v/>
      </c>
      <c r="G25" s="111">
        <f>D25+E25+F25</f>
        <v/>
      </c>
      <c r="H25" s="112">
        <f>C14</f>
        <v/>
      </c>
      <c r="I25" s="113">
        <f>IF(H25&gt;0,G25/H25,0)</f>
        <v/>
      </c>
    </row>
    <row r="26" ht="16" customHeight="1">
      <c r="B26" s="114" t="n">
        <v>8</v>
      </c>
      <c r="C26" s="114">
        <f>C6+8</f>
        <v/>
      </c>
      <c r="D26" s="115">
        <f>G25</f>
        <v/>
      </c>
      <c r="E26" s="115">
        <f>C11*12</f>
        <v/>
      </c>
      <c r="F26" s="116">
        <f>(D26+E26/2)*C7</f>
        <v/>
      </c>
      <c r="G26" s="117">
        <f>D26+E26+F26</f>
        <v/>
      </c>
      <c r="H26" s="118">
        <f>C14</f>
        <v/>
      </c>
      <c r="I26" s="119">
        <f>IF(H26&gt;0,G26/H26,0)</f>
        <v/>
      </c>
    </row>
    <row r="27" ht="16" customHeight="1">
      <c r="B27" s="108" t="n">
        <v>9</v>
      </c>
      <c r="C27" s="108">
        <f>C6+9</f>
        <v/>
      </c>
      <c r="D27" s="109">
        <f>G26</f>
        <v/>
      </c>
      <c r="E27" s="109">
        <f>C11*12</f>
        <v/>
      </c>
      <c r="F27" s="110">
        <f>(D27+E27/2)*C7</f>
        <v/>
      </c>
      <c r="G27" s="111">
        <f>D27+E27+F27</f>
        <v/>
      </c>
      <c r="H27" s="112">
        <f>C14</f>
        <v/>
      </c>
      <c r="I27" s="113">
        <f>IF(H27&gt;0,G27/H27,0)</f>
        <v/>
      </c>
    </row>
    <row r="28" ht="16" customHeight="1">
      <c r="B28" s="114" t="n">
        <v>10</v>
      </c>
      <c r="C28" s="114">
        <f>C6+10</f>
        <v/>
      </c>
      <c r="D28" s="115">
        <f>G27</f>
        <v/>
      </c>
      <c r="E28" s="115">
        <f>C11*12</f>
        <v/>
      </c>
      <c r="F28" s="116">
        <f>(D28+E28/2)*C7</f>
        <v/>
      </c>
      <c r="G28" s="117">
        <f>D28+E28+F28</f>
        <v/>
      </c>
      <c r="H28" s="118">
        <f>C14</f>
        <v/>
      </c>
      <c r="I28" s="119">
        <f>IF(H28&gt;0,G28/H28,0)</f>
        <v/>
      </c>
    </row>
    <row r="29" ht="16" customHeight="1">
      <c r="B29" s="108" t="n">
        <v>11</v>
      </c>
      <c r="C29" s="108">
        <f>C6+11</f>
        <v/>
      </c>
      <c r="D29" s="109">
        <f>G28</f>
        <v/>
      </c>
      <c r="E29" s="109">
        <f>C11*12</f>
        <v/>
      </c>
      <c r="F29" s="110">
        <f>(D29+E29/2)*C7</f>
        <v/>
      </c>
      <c r="G29" s="111">
        <f>D29+E29+F29</f>
        <v/>
      </c>
      <c r="H29" s="112">
        <f>C14</f>
        <v/>
      </c>
      <c r="I29" s="113">
        <f>IF(H29&gt;0,G29/H29,0)</f>
        <v/>
      </c>
    </row>
    <row r="30" ht="16" customHeight="1">
      <c r="B30" s="114" t="n">
        <v>12</v>
      </c>
      <c r="C30" s="114">
        <f>C6+12</f>
        <v/>
      </c>
      <c r="D30" s="115">
        <f>G29</f>
        <v/>
      </c>
      <c r="E30" s="115">
        <f>C11*12</f>
        <v/>
      </c>
      <c r="F30" s="116">
        <f>(D30+E30/2)*C7</f>
        <v/>
      </c>
      <c r="G30" s="117">
        <f>D30+E30+F30</f>
        <v/>
      </c>
      <c r="H30" s="118">
        <f>C14</f>
        <v/>
      </c>
      <c r="I30" s="119">
        <f>IF(H30&gt;0,G30/H30,0)</f>
        <v/>
      </c>
    </row>
    <row r="31" ht="16" customHeight="1">
      <c r="B31" s="108" t="n">
        <v>13</v>
      </c>
      <c r="C31" s="108">
        <f>C6+13</f>
        <v/>
      </c>
      <c r="D31" s="109">
        <f>G30</f>
        <v/>
      </c>
      <c r="E31" s="109">
        <f>C11*12</f>
        <v/>
      </c>
      <c r="F31" s="110">
        <f>(D31+E31/2)*C7</f>
        <v/>
      </c>
      <c r="G31" s="111">
        <f>D31+E31+F31</f>
        <v/>
      </c>
      <c r="H31" s="112">
        <f>C14</f>
        <v/>
      </c>
      <c r="I31" s="113">
        <f>IF(H31&gt;0,G31/H31,0)</f>
        <v/>
      </c>
    </row>
    <row r="32" ht="16" customHeight="1">
      <c r="B32" s="114" t="n">
        <v>14</v>
      </c>
      <c r="C32" s="114">
        <f>C6+14</f>
        <v/>
      </c>
      <c r="D32" s="115">
        <f>G31</f>
        <v/>
      </c>
      <c r="E32" s="115">
        <f>C11*12</f>
        <v/>
      </c>
      <c r="F32" s="116">
        <f>(D32+E32/2)*C7</f>
        <v/>
      </c>
      <c r="G32" s="117">
        <f>D32+E32+F32</f>
        <v/>
      </c>
      <c r="H32" s="118">
        <f>C14</f>
        <v/>
      </c>
      <c r="I32" s="119">
        <f>IF(H32&gt;0,G32/H32,0)</f>
        <v/>
      </c>
    </row>
    <row r="33" ht="16" customHeight="1">
      <c r="B33" s="108" t="n">
        <v>15</v>
      </c>
      <c r="C33" s="108">
        <f>C6+15</f>
        <v/>
      </c>
      <c r="D33" s="109">
        <f>G32</f>
        <v/>
      </c>
      <c r="E33" s="109">
        <f>C11*12</f>
        <v/>
      </c>
      <c r="F33" s="110">
        <f>(D33+E33/2)*C7</f>
        <v/>
      </c>
      <c r="G33" s="111">
        <f>D33+E33+F33</f>
        <v/>
      </c>
      <c r="H33" s="112">
        <f>C14</f>
        <v/>
      </c>
      <c r="I33" s="113">
        <f>IF(H33&gt;0,G33/H33,0)</f>
        <v/>
      </c>
    </row>
    <row r="34" ht="16" customHeight="1">
      <c r="B34" s="114" t="n">
        <v>16</v>
      </c>
      <c r="C34" s="114">
        <f>C6+16</f>
        <v/>
      </c>
      <c r="D34" s="115">
        <f>G33</f>
        <v/>
      </c>
      <c r="E34" s="115">
        <f>C11*12</f>
        <v/>
      </c>
      <c r="F34" s="116">
        <f>(D34+E34/2)*C7</f>
        <v/>
      </c>
      <c r="G34" s="117">
        <f>D34+E34+F34</f>
        <v/>
      </c>
      <c r="H34" s="118">
        <f>C14</f>
        <v/>
      </c>
      <c r="I34" s="119">
        <f>IF(H34&gt;0,G34/H34,0)</f>
        <v/>
      </c>
    </row>
    <row r="35" ht="16" customHeight="1">
      <c r="B35" s="108" t="n">
        <v>17</v>
      </c>
      <c r="C35" s="108">
        <f>C6+17</f>
        <v/>
      </c>
      <c r="D35" s="109">
        <f>G34</f>
        <v/>
      </c>
      <c r="E35" s="109">
        <f>C11*12</f>
        <v/>
      </c>
      <c r="F35" s="110">
        <f>(D35+E35/2)*C7</f>
        <v/>
      </c>
      <c r="G35" s="111">
        <f>D35+E35+F35</f>
        <v/>
      </c>
      <c r="H35" s="112">
        <f>C14</f>
        <v/>
      </c>
      <c r="I35" s="113">
        <f>IF(H35&gt;0,G35/H35,0)</f>
        <v/>
      </c>
    </row>
    <row r="36" ht="16" customHeight="1">
      <c r="B36" s="114" t="n">
        <v>18</v>
      </c>
      <c r="C36" s="114">
        <f>C6+18</f>
        <v/>
      </c>
      <c r="D36" s="115">
        <f>G35</f>
        <v/>
      </c>
      <c r="E36" s="115">
        <f>C11*12</f>
        <v/>
      </c>
      <c r="F36" s="116">
        <f>(D36+E36/2)*C7</f>
        <v/>
      </c>
      <c r="G36" s="117">
        <f>D36+E36+F36</f>
        <v/>
      </c>
      <c r="H36" s="118">
        <f>C14</f>
        <v/>
      </c>
      <c r="I36" s="119">
        <f>IF(H36&gt;0,G36/H36,0)</f>
        <v/>
      </c>
    </row>
    <row r="37" ht="16" customHeight="1">
      <c r="B37" s="108" t="n">
        <v>19</v>
      </c>
      <c r="C37" s="108">
        <f>C6+19</f>
        <v/>
      </c>
      <c r="D37" s="109">
        <f>G36</f>
        <v/>
      </c>
      <c r="E37" s="109">
        <f>C11*12</f>
        <v/>
      </c>
      <c r="F37" s="110">
        <f>(D37+E37/2)*C7</f>
        <v/>
      </c>
      <c r="G37" s="111">
        <f>D37+E37+F37</f>
        <v/>
      </c>
      <c r="H37" s="112">
        <f>C14</f>
        <v/>
      </c>
      <c r="I37" s="113">
        <f>IF(H37&gt;0,G37/H37,0)</f>
        <v/>
      </c>
    </row>
    <row r="38" ht="16" customHeight="1">
      <c r="B38" s="114" t="n">
        <v>20</v>
      </c>
      <c r="C38" s="114">
        <f>C6+20</f>
        <v/>
      </c>
      <c r="D38" s="115">
        <f>G37</f>
        <v/>
      </c>
      <c r="E38" s="115">
        <f>C11*12</f>
        <v/>
      </c>
      <c r="F38" s="116">
        <f>(D38+E38/2)*C7</f>
        <v/>
      </c>
      <c r="G38" s="117">
        <f>D38+E38+F38</f>
        <v/>
      </c>
      <c r="H38" s="118">
        <f>C14</f>
        <v/>
      </c>
      <c r="I38" s="119">
        <f>IF(H38&gt;0,G38/H38,0)</f>
        <v/>
      </c>
    </row>
    <row r="39" ht="16" customHeight="1">
      <c r="B39" s="108" t="n">
        <v>21</v>
      </c>
      <c r="C39" s="108">
        <f>C6+21</f>
        <v/>
      </c>
      <c r="D39" s="109">
        <f>G38</f>
        <v/>
      </c>
      <c r="E39" s="109">
        <f>C11*12</f>
        <v/>
      </c>
      <c r="F39" s="110">
        <f>(D39+E39/2)*C7</f>
        <v/>
      </c>
      <c r="G39" s="111">
        <f>D39+E39+F39</f>
        <v/>
      </c>
      <c r="H39" s="112">
        <f>C14</f>
        <v/>
      </c>
      <c r="I39" s="113">
        <f>IF(H39&gt;0,G39/H39,0)</f>
        <v/>
      </c>
    </row>
    <row r="40" ht="16" customHeight="1">
      <c r="B40" s="114" t="n">
        <v>22</v>
      </c>
      <c r="C40" s="114">
        <f>C6+22</f>
        <v/>
      </c>
      <c r="D40" s="115">
        <f>G39</f>
        <v/>
      </c>
      <c r="E40" s="115">
        <f>C11*12</f>
        <v/>
      </c>
      <c r="F40" s="116">
        <f>(D40+E40/2)*C7</f>
        <v/>
      </c>
      <c r="G40" s="117">
        <f>D40+E40+F40</f>
        <v/>
      </c>
      <c r="H40" s="118">
        <f>C14</f>
        <v/>
      </c>
      <c r="I40" s="119">
        <f>IF(H40&gt;0,G40/H40,0)</f>
        <v/>
      </c>
    </row>
    <row r="41" ht="16" customHeight="1">
      <c r="B41" s="108" t="n">
        <v>23</v>
      </c>
      <c r="C41" s="108">
        <f>C6+23</f>
        <v/>
      </c>
      <c r="D41" s="109">
        <f>G40</f>
        <v/>
      </c>
      <c r="E41" s="109">
        <f>C11*12</f>
        <v/>
      </c>
      <c r="F41" s="110">
        <f>(D41+E41/2)*C7</f>
        <v/>
      </c>
      <c r="G41" s="111">
        <f>D41+E41+F41</f>
        <v/>
      </c>
      <c r="H41" s="112">
        <f>C14</f>
        <v/>
      </c>
      <c r="I41" s="113">
        <f>IF(H41&gt;0,G41/H41,0)</f>
        <v/>
      </c>
    </row>
    <row r="42" ht="16" customHeight="1">
      <c r="B42" s="114" t="n">
        <v>24</v>
      </c>
      <c r="C42" s="114">
        <f>C6+24</f>
        <v/>
      </c>
      <c r="D42" s="115">
        <f>G41</f>
        <v/>
      </c>
      <c r="E42" s="115">
        <f>C11*12</f>
        <v/>
      </c>
      <c r="F42" s="116">
        <f>(D42+E42/2)*C7</f>
        <v/>
      </c>
      <c r="G42" s="117">
        <f>D42+E42+F42</f>
        <v/>
      </c>
      <c r="H42" s="118">
        <f>C14</f>
        <v/>
      </c>
      <c r="I42" s="119">
        <f>IF(H42&gt;0,G42/H42,0)</f>
        <v/>
      </c>
    </row>
    <row r="43" ht="16" customHeight="1">
      <c r="B43" s="108" t="n">
        <v>25</v>
      </c>
      <c r="C43" s="108">
        <f>C6+25</f>
        <v/>
      </c>
      <c r="D43" s="109">
        <f>G42</f>
        <v/>
      </c>
      <c r="E43" s="109">
        <f>C11*12</f>
        <v/>
      </c>
      <c r="F43" s="110">
        <f>(D43+E43/2)*C7</f>
        <v/>
      </c>
      <c r="G43" s="111">
        <f>D43+E43+F43</f>
        <v/>
      </c>
      <c r="H43" s="112">
        <f>C14</f>
        <v/>
      </c>
      <c r="I43" s="113">
        <f>IF(H43&gt;0,G43/H43,0)</f>
        <v/>
      </c>
    </row>
    <row r="44" ht="16" customHeight="1">
      <c r="B44" s="114" t="n">
        <v>26</v>
      </c>
      <c r="C44" s="114">
        <f>C6+26</f>
        <v/>
      </c>
      <c r="D44" s="115">
        <f>G43</f>
        <v/>
      </c>
      <c r="E44" s="115">
        <f>C11*12</f>
        <v/>
      </c>
      <c r="F44" s="116">
        <f>(D44+E44/2)*C7</f>
        <v/>
      </c>
      <c r="G44" s="117">
        <f>D44+E44+F44</f>
        <v/>
      </c>
      <c r="H44" s="118">
        <f>C14</f>
        <v/>
      </c>
      <c r="I44" s="119">
        <f>IF(H44&gt;0,G44/H44,0)</f>
        <v/>
      </c>
    </row>
    <row r="45" ht="16" customHeight="1">
      <c r="B45" s="108" t="n">
        <v>27</v>
      </c>
      <c r="C45" s="108">
        <f>C6+27</f>
        <v/>
      </c>
      <c r="D45" s="109">
        <f>G44</f>
        <v/>
      </c>
      <c r="E45" s="109">
        <f>C11*12</f>
        <v/>
      </c>
      <c r="F45" s="110">
        <f>(D45+E45/2)*C7</f>
        <v/>
      </c>
      <c r="G45" s="111">
        <f>D45+E45+F45</f>
        <v/>
      </c>
      <c r="H45" s="112">
        <f>C14</f>
        <v/>
      </c>
      <c r="I45" s="113">
        <f>IF(H45&gt;0,G45/H45,0)</f>
        <v/>
      </c>
    </row>
    <row r="46" ht="16" customHeight="1">
      <c r="B46" s="114" t="n">
        <v>28</v>
      </c>
      <c r="C46" s="114">
        <f>C6+28</f>
        <v/>
      </c>
      <c r="D46" s="115">
        <f>G45</f>
        <v/>
      </c>
      <c r="E46" s="115">
        <f>C11*12</f>
        <v/>
      </c>
      <c r="F46" s="116">
        <f>(D46+E46/2)*C7</f>
        <v/>
      </c>
      <c r="G46" s="117">
        <f>D46+E46+F46</f>
        <v/>
      </c>
      <c r="H46" s="118">
        <f>C14</f>
        <v/>
      </c>
      <c r="I46" s="119">
        <f>IF(H46&gt;0,G46/H46,0)</f>
        <v/>
      </c>
    </row>
    <row r="47" ht="16" customHeight="1">
      <c r="B47" s="108" t="n">
        <v>29</v>
      </c>
      <c r="C47" s="108">
        <f>C6+29</f>
        <v/>
      </c>
      <c r="D47" s="109">
        <f>G46</f>
        <v/>
      </c>
      <c r="E47" s="109">
        <f>C11*12</f>
        <v/>
      </c>
      <c r="F47" s="110">
        <f>(D47+E47/2)*C7</f>
        <v/>
      </c>
      <c r="G47" s="111">
        <f>D47+E47+F47</f>
        <v/>
      </c>
      <c r="H47" s="112">
        <f>C14</f>
        <v/>
      </c>
      <c r="I47" s="113">
        <f>IF(H47&gt;0,G47/H47,0)</f>
        <v/>
      </c>
    </row>
    <row r="48" ht="16" customHeight="1">
      <c r="B48" s="114" t="n">
        <v>30</v>
      </c>
      <c r="C48" s="114">
        <f>C6+30</f>
        <v/>
      </c>
      <c r="D48" s="115">
        <f>G47</f>
        <v/>
      </c>
      <c r="E48" s="115">
        <f>C11*12</f>
        <v/>
      </c>
      <c r="F48" s="116">
        <f>(D48+E48/2)*C7</f>
        <v/>
      </c>
      <c r="G48" s="117">
        <f>D48+E48+F48</f>
        <v/>
      </c>
      <c r="H48" s="118">
        <f>C14</f>
        <v/>
      </c>
      <c r="I48" s="119">
        <f>IF(H48&gt;0,G48/H48,0)</f>
        <v/>
      </c>
    </row>
    <row r="49" ht="16" customHeight="1">
      <c r="B49" s="108" t="n">
        <v>31</v>
      </c>
      <c r="C49" s="108">
        <f>C6+31</f>
        <v/>
      </c>
      <c r="D49" s="109">
        <f>G48</f>
        <v/>
      </c>
      <c r="E49" s="109">
        <f>C11*12</f>
        <v/>
      </c>
      <c r="F49" s="110">
        <f>(D49+E49/2)*C7</f>
        <v/>
      </c>
      <c r="G49" s="111">
        <f>D49+E49+F49</f>
        <v/>
      </c>
      <c r="H49" s="112">
        <f>C14</f>
        <v/>
      </c>
      <c r="I49" s="113">
        <f>IF(H49&gt;0,G49/H49,0)</f>
        <v/>
      </c>
    </row>
    <row r="50" ht="16" customHeight="1">
      <c r="B50" s="114" t="n">
        <v>32</v>
      </c>
      <c r="C50" s="114">
        <f>C6+32</f>
        <v/>
      </c>
      <c r="D50" s="115">
        <f>G49</f>
        <v/>
      </c>
      <c r="E50" s="115">
        <f>C11*12</f>
        <v/>
      </c>
      <c r="F50" s="116">
        <f>(D50+E50/2)*C7</f>
        <v/>
      </c>
      <c r="G50" s="117">
        <f>D50+E50+F50</f>
        <v/>
      </c>
      <c r="H50" s="118">
        <f>C14</f>
        <v/>
      </c>
      <c r="I50" s="119">
        <f>IF(H50&gt;0,G50/H50,0)</f>
        <v/>
      </c>
    </row>
    <row r="51" ht="16" customHeight="1">
      <c r="B51" s="108" t="n">
        <v>33</v>
      </c>
      <c r="C51" s="108">
        <f>C6+33</f>
        <v/>
      </c>
      <c r="D51" s="109">
        <f>G50</f>
        <v/>
      </c>
      <c r="E51" s="109">
        <f>C11*12</f>
        <v/>
      </c>
      <c r="F51" s="110">
        <f>(D51+E51/2)*C7</f>
        <v/>
      </c>
      <c r="G51" s="111">
        <f>D51+E51+F51</f>
        <v/>
      </c>
      <c r="H51" s="112">
        <f>C14</f>
        <v/>
      </c>
      <c r="I51" s="113">
        <f>IF(H51&gt;0,G51/H51,0)</f>
        <v/>
      </c>
    </row>
    <row r="52" ht="16" customHeight="1">
      <c r="B52" s="114" t="n">
        <v>34</v>
      </c>
      <c r="C52" s="114">
        <f>C6+34</f>
        <v/>
      </c>
      <c r="D52" s="115">
        <f>G51</f>
        <v/>
      </c>
      <c r="E52" s="115">
        <f>C11*12</f>
        <v/>
      </c>
      <c r="F52" s="116">
        <f>(D52+E52/2)*C7</f>
        <v/>
      </c>
      <c r="G52" s="117">
        <f>D52+E52+F52</f>
        <v/>
      </c>
      <c r="H52" s="118">
        <f>C14</f>
        <v/>
      </c>
      <c r="I52" s="119">
        <f>IF(H52&gt;0,G52/H52,0)</f>
        <v/>
      </c>
    </row>
    <row r="53" ht="16" customHeight="1">
      <c r="B53" s="108" t="n">
        <v>35</v>
      </c>
      <c r="C53" s="108">
        <f>C6+35</f>
        <v/>
      </c>
      <c r="D53" s="109">
        <f>G52</f>
        <v/>
      </c>
      <c r="E53" s="109">
        <f>C11*12</f>
        <v/>
      </c>
      <c r="F53" s="110">
        <f>(D53+E53/2)*C7</f>
        <v/>
      </c>
      <c r="G53" s="111">
        <f>D53+E53+F53</f>
        <v/>
      </c>
      <c r="H53" s="112">
        <f>C14</f>
        <v/>
      </c>
      <c r="I53" s="113">
        <f>IF(H53&gt;0,G53/H53,0)</f>
        <v/>
      </c>
    </row>
    <row r="54" ht="16" customHeight="1">
      <c r="B54" s="114" t="n">
        <v>36</v>
      </c>
      <c r="C54" s="114">
        <f>C6+36</f>
        <v/>
      </c>
      <c r="D54" s="115">
        <f>G53</f>
        <v/>
      </c>
      <c r="E54" s="115">
        <f>C11*12</f>
        <v/>
      </c>
      <c r="F54" s="116">
        <f>(D54+E54/2)*C7</f>
        <v/>
      </c>
      <c r="G54" s="117">
        <f>D54+E54+F54</f>
        <v/>
      </c>
      <c r="H54" s="118">
        <f>C14</f>
        <v/>
      </c>
      <c r="I54" s="119">
        <f>IF(H54&gt;0,G54/H54,0)</f>
        <v/>
      </c>
    </row>
    <row r="55" ht="16" customHeight="1">
      <c r="B55" s="108" t="n">
        <v>37</v>
      </c>
      <c r="C55" s="108">
        <f>C6+37</f>
        <v/>
      </c>
      <c r="D55" s="109">
        <f>G54</f>
        <v/>
      </c>
      <c r="E55" s="109">
        <f>C11*12</f>
        <v/>
      </c>
      <c r="F55" s="110">
        <f>(D55+E55/2)*C7</f>
        <v/>
      </c>
      <c r="G55" s="111">
        <f>D55+E55+F55</f>
        <v/>
      </c>
      <c r="H55" s="112">
        <f>C14</f>
        <v/>
      </c>
      <c r="I55" s="113">
        <f>IF(H55&gt;0,G55/H55,0)</f>
        <v/>
      </c>
    </row>
    <row r="56" ht="16" customHeight="1">
      <c r="B56" s="114" t="n">
        <v>38</v>
      </c>
      <c r="C56" s="114">
        <f>C6+38</f>
        <v/>
      </c>
      <c r="D56" s="115">
        <f>G55</f>
        <v/>
      </c>
      <c r="E56" s="115">
        <f>C11*12</f>
        <v/>
      </c>
      <c r="F56" s="116">
        <f>(D56+E56/2)*C7</f>
        <v/>
      </c>
      <c r="G56" s="117">
        <f>D56+E56+F56</f>
        <v/>
      </c>
      <c r="H56" s="118">
        <f>C14</f>
        <v/>
      </c>
      <c r="I56" s="119">
        <f>IF(H56&gt;0,G56/H56,0)</f>
        <v/>
      </c>
    </row>
    <row r="57" ht="16" customHeight="1">
      <c r="B57" s="108" t="n">
        <v>39</v>
      </c>
      <c r="C57" s="108">
        <f>C6+39</f>
        <v/>
      </c>
      <c r="D57" s="109">
        <f>G56</f>
        <v/>
      </c>
      <c r="E57" s="109">
        <f>C11*12</f>
        <v/>
      </c>
      <c r="F57" s="110">
        <f>(D57+E57/2)*C7</f>
        <v/>
      </c>
      <c r="G57" s="111">
        <f>D57+E57+F57</f>
        <v/>
      </c>
      <c r="H57" s="112">
        <f>C14</f>
        <v/>
      </c>
      <c r="I57" s="113">
        <f>IF(H57&gt;0,G57/H57,0)</f>
        <v/>
      </c>
    </row>
    <row r="58" ht="16" customHeight="1">
      <c r="B58" s="114" t="n">
        <v>40</v>
      </c>
      <c r="C58" s="114">
        <f>C6+40</f>
        <v/>
      </c>
      <c r="D58" s="115">
        <f>G57</f>
        <v/>
      </c>
      <c r="E58" s="115">
        <f>C11*12</f>
        <v/>
      </c>
      <c r="F58" s="116">
        <f>(D58+E58/2)*C7</f>
        <v/>
      </c>
      <c r="G58" s="117">
        <f>D58+E58+F58</f>
        <v/>
      </c>
      <c r="H58" s="118">
        <f>C14</f>
        <v/>
      </c>
      <c r="I58" s="119">
        <f>IF(H58&gt;0,G58/H58,0)</f>
        <v/>
      </c>
    </row>
    <row r="59" ht="16" customHeight="1">
      <c r="B59" s="108" t="n">
        <v>41</v>
      </c>
      <c r="C59" s="108">
        <f>C6+41</f>
        <v/>
      </c>
      <c r="D59" s="109">
        <f>G58</f>
        <v/>
      </c>
      <c r="E59" s="109">
        <f>C11*12</f>
        <v/>
      </c>
      <c r="F59" s="110">
        <f>(D59+E59/2)*C7</f>
        <v/>
      </c>
      <c r="G59" s="111">
        <f>D59+E59+F59</f>
        <v/>
      </c>
      <c r="H59" s="112">
        <f>C14</f>
        <v/>
      </c>
      <c r="I59" s="113">
        <f>IF(H59&gt;0,G59/H59,0)</f>
        <v/>
      </c>
    </row>
    <row r="60" ht="16" customHeight="1">
      <c r="B60" s="114" t="n">
        <v>42</v>
      </c>
      <c r="C60" s="114">
        <f>C6+42</f>
        <v/>
      </c>
      <c r="D60" s="115">
        <f>G59</f>
        <v/>
      </c>
      <c r="E60" s="115">
        <f>C11*12</f>
        <v/>
      </c>
      <c r="F60" s="116">
        <f>(D60+E60/2)*C7</f>
        <v/>
      </c>
      <c r="G60" s="117">
        <f>D60+E60+F60</f>
        <v/>
      </c>
      <c r="H60" s="118">
        <f>C14</f>
        <v/>
      </c>
      <c r="I60" s="119">
        <f>IF(H60&gt;0,G60/H60,0)</f>
        <v/>
      </c>
    </row>
    <row r="61" ht="16" customHeight="1">
      <c r="B61" s="108" t="n">
        <v>43</v>
      </c>
      <c r="C61" s="108">
        <f>C6+43</f>
        <v/>
      </c>
      <c r="D61" s="109">
        <f>G60</f>
        <v/>
      </c>
      <c r="E61" s="109">
        <f>C11*12</f>
        <v/>
      </c>
      <c r="F61" s="110">
        <f>(D61+E61/2)*C7</f>
        <v/>
      </c>
      <c r="G61" s="111">
        <f>D61+E61+F61</f>
        <v/>
      </c>
      <c r="H61" s="112">
        <f>C14</f>
        <v/>
      </c>
      <c r="I61" s="113">
        <f>IF(H61&gt;0,G61/H61,0)</f>
        <v/>
      </c>
    </row>
    <row r="62" ht="16" customHeight="1">
      <c r="B62" s="114" t="n">
        <v>44</v>
      </c>
      <c r="C62" s="114">
        <f>C6+44</f>
        <v/>
      </c>
      <c r="D62" s="115">
        <f>G61</f>
        <v/>
      </c>
      <c r="E62" s="115">
        <f>C11*12</f>
        <v/>
      </c>
      <c r="F62" s="116">
        <f>(D62+E62/2)*C7</f>
        <v/>
      </c>
      <c r="G62" s="117">
        <f>D62+E62+F62</f>
        <v/>
      </c>
      <c r="H62" s="118">
        <f>C14</f>
        <v/>
      </c>
      <c r="I62" s="119">
        <f>IF(H62&gt;0,G62/H62,0)</f>
        <v/>
      </c>
    </row>
    <row r="63" ht="16" customHeight="1">
      <c r="B63" s="108" t="n">
        <v>45</v>
      </c>
      <c r="C63" s="108">
        <f>C6+45</f>
        <v/>
      </c>
      <c r="D63" s="109">
        <f>G62</f>
        <v/>
      </c>
      <c r="E63" s="109">
        <f>C11*12</f>
        <v/>
      </c>
      <c r="F63" s="110">
        <f>(D63+E63/2)*C7</f>
        <v/>
      </c>
      <c r="G63" s="111">
        <f>D63+E63+F63</f>
        <v/>
      </c>
      <c r="H63" s="112">
        <f>C14</f>
        <v/>
      </c>
      <c r="I63" s="113">
        <f>IF(H63&gt;0,G63/H63,0)</f>
        <v/>
      </c>
    </row>
    <row r="64" ht="16" customHeight="1">
      <c r="B64" s="114" t="n">
        <v>46</v>
      </c>
      <c r="C64" s="114">
        <f>C6+46</f>
        <v/>
      </c>
      <c r="D64" s="115">
        <f>G63</f>
        <v/>
      </c>
      <c r="E64" s="115">
        <f>C11*12</f>
        <v/>
      </c>
      <c r="F64" s="116">
        <f>(D64+E64/2)*C7</f>
        <v/>
      </c>
      <c r="G64" s="117">
        <f>D64+E64+F64</f>
        <v/>
      </c>
      <c r="H64" s="118">
        <f>C14</f>
        <v/>
      </c>
      <c r="I64" s="119">
        <f>IF(H64&gt;0,G64/H64,0)</f>
        <v/>
      </c>
    </row>
    <row r="65" ht="16" customHeight="1">
      <c r="B65" s="108" t="n">
        <v>47</v>
      </c>
      <c r="C65" s="108">
        <f>C6+47</f>
        <v/>
      </c>
      <c r="D65" s="109">
        <f>G64</f>
        <v/>
      </c>
      <c r="E65" s="109">
        <f>C11*12</f>
        <v/>
      </c>
      <c r="F65" s="110">
        <f>(D65+E65/2)*C7</f>
        <v/>
      </c>
      <c r="G65" s="111">
        <f>D65+E65+F65</f>
        <v/>
      </c>
      <c r="H65" s="112">
        <f>C14</f>
        <v/>
      </c>
      <c r="I65" s="113">
        <f>IF(H65&gt;0,G65/H65,0)</f>
        <v/>
      </c>
    </row>
    <row r="66" ht="16" customHeight="1">
      <c r="B66" s="114" t="n">
        <v>48</v>
      </c>
      <c r="C66" s="114">
        <f>C6+48</f>
        <v/>
      </c>
      <c r="D66" s="115">
        <f>G65</f>
        <v/>
      </c>
      <c r="E66" s="115">
        <f>C11*12</f>
        <v/>
      </c>
      <c r="F66" s="116">
        <f>(D66+E66/2)*C7</f>
        <v/>
      </c>
      <c r="G66" s="117">
        <f>D66+E66+F66</f>
        <v/>
      </c>
      <c r="H66" s="118">
        <f>C14</f>
        <v/>
      </c>
      <c r="I66" s="119">
        <f>IF(H66&gt;0,G66/H66,0)</f>
        <v/>
      </c>
    </row>
    <row r="67" ht="16" customHeight="1">
      <c r="B67" s="108" t="n">
        <v>49</v>
      </c>
      <c r="C67" s="108">
        <f>C6+49</f>
        <v/>
      </c>
      <c r="D67" s="109">
        <f>G66</f>
        <v/>
      </c>
      <c r="E67" s="109">
        <f>C11*12</f>
        <v/>
      </c>
      <c r="F67" s="110">
        <f>(D67+E67/2)*C7</f>
        <v/>
      </c>
      <c r="G67" s="111">
        <f>D67+E67+F67</f>
        <v/>
      </c>
      <c r="H67" s="112">
        <f>C14</f>
        <v/>
      </c>
      <c r="I67" s="113">
        <f>IF(H67&gt;0,G67/H67,0)</f>
        <v/>
      </c>
    </row>
    <row r="68" ht="16" customHeight="1">
      <c r="B68" s="114" t="n">
        <v>50</v>
      </c>
      <c r="C68" s="114">
        <f>C6+50</f>
        <v/>
      </c>
      <c r="D68" s="115">
        <f>G67</f>
        <v/>
      </c>
      <c r="E68" s="115">
        <f>C11*12</f>
        <v/>
      </c>
      <c r="F68" s="116">
        <f>(D68+E68/2)*C7</f>
        <v/>
      </c>
      <c r="G68" s="117">
        <f>D68+E68+F68</f>
        <v/>
      </c>
      <c r="H68" s="118">
        <f>C14</f>
        <v/>
      </c>
      <c r="I68" s="119">
        <f>IF(H68&gt;0,G68/H68,0)</f>
        <v/>
      </c>
    </row>
  </sheetData>
  <mergeCells count="25">
    <mergeCell ref="G12:H12"/>
    <mergeCell ref="F5:H5"/>
    <mergeCell ref="D10:E10"/>
    <mergeCell ref="G11:H11"/>
    <mergeCell ref="B5:E5"/>
    <mergeCell ref="G8:H8"/>
    <mergeCell ref="D6:E6"/>
    <mergeCell ref="G7:H7"/>
    <mergeCell ref="D11:E11"/>
    <mergeCell ref="D13:E13"/>
    <mergeCell ref="G10:H10"/>
    <mergeCell ref="G6:H6"/>
    <mergeCell ref="G13:H13"/>
    <mergeCell ref="B3:H3"/>
    <mergeCell ref="D7:E7"/>
    <mergeCell ref="G15:H15"/>
    <mergeCell ref="B2:H2"/>
    <mergeCell ref="G14:H14"/>
    <mergeCell ref="D9:E9"/>
    <mergeCell ref="D12:E12"/>
    <mergeCell ref="D8:E8"/>
    <mergeCell ref="B17:H17"/>
    <mergeCell ref="D15:E15"/>
    <mergeCell ref="D14:E14"/>
    <mergeCell ref="G9:H9"/>
  </mergeCells>
  <conditionalFormatting sqref="G19:G68">
    <cfRule type="cellIs" priority="1" operator="greaterThanOrEqual" dxfId="0">
      <formula>=H19</formula>
    </cfRule>
  </conditionalFormatting>
  <conditionalFormatting sqref="I19:I68">
    <cfRule type="colorScale" priority="2">
      <colorScale>
        <cfvo type="num" val="0"/>
        <cfvo type="num" val="0.5"/>
        <cfvo type="num" val="1"/>
        <color rgb="00FADBD8"/>
        <color rgb="00FEF9E7"/>
        <color rgb="00D5F5E3"/>
      </colorScale>
    </cfRule>
  </conditionalFormatting>
  <conditionalFormatting sqref="B19:I68">
    <cfRule type="cellIs" priority="3" operator="greaterThanOrEqual" dxfId="3">
      <formula>=IF(I19&gt;=1,1,2)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03A2E"/>
    <outlinePr summaryBelow="1" summaryRight="1"/>
    <pageSetUpPr/>
  </sheetPr>
  <dimension ref="B2:H75"/>
  <sheetViews>
    <sheetView showGridLines="0" zoomScale="95" workbookViewId="0">
      <pane xSplit="2" ySplit="24" topLeftCell="C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" customWidth="1" min="8" max="8"/>
  </cols>
  <sheetData>
    <row r="1" ht="8" customHeight="1"/>
    <row r="2" ht="44" customHeight="1">
      <c r="B2" s="120" t="inlineStr">
        <is>
          <t>SAFE WITHDRAWAL RATE &amp; POST-RETIREMENT PLANNER</t>
        </is>
      </c>
    </row>
    <row r="3" ht="20" customHeight="1">
      <c r="B3" s="24" t="inlineStr">
        <is>
          <t>The 4% Rule: withdraw 4% of portfolio annually — historically survived 95%+ of 30-year retirements (Trinity Study)</t>
        </is>
      </c>
    </row>
    <row r="4" ht="10" customHeight="1"/>
    <row r="5" ht="22" customHeight="1">
      <c r="B5" s="95" t="inlineStr">
        <is>
          <t>RETIREMENT INPUTS</t>
        </is>
      </c>
      <c r="E5" s="2" t="inlineStr">
        <is>
          <t>SWR SCENARIO COMPARISON</t>
        </is>
      </c>
    </row>
    <row r="6" ht="20" customHeight="1">
      <c r="B6" s="13" t="inlineStr">
        <is>
          <t>Parameter</t>
        </is>
      </c>
      <c r="C6" s="13" t="inlineStr">
        <is>
          <t>Value</t>
        </is>
      </c>
      <c r="D6" s="121" t="n"/>
      <c r="E6" s="13" t="inlineStr">
        <is>
          <t>SWR Rate</t>
        </is>
      </c>
      <c r="F6" s="13" t="inlineStr">
        <is>
          <t>Annual Withdrawal</t>
        </is>
      </c>
      <c r="G6" s="13" t="inlineStr">
        <is>
          <t>FIRE # Required</t>
        </is>
      </c>
    </row>
    <row r="7" ht="22" customHeight="1">
      <c r="B7" s="96" t="inlineStr">
        <is>
          <t>Portfolio at Retirement ($)</t>
        </is>
      </c>
      <c r="C7" s="104">
        <f>IFERROR(INDEX('Investment Growth'!G19:G68,MATCH('Investment Growth'!C12,'Investment Growth'!C19:C68,0)),0)</f>
        <v/>
      </c>
      <c r="E7" s="122" t="inlineStr">
        <is>
          <t>Ultra-Conservative 2.5%</t>
        </is>
      </c>
      <c r="F7" s="123">
        <f>C7*0.025</f>
        <v/>
      </c>
      <c r="G7" s="124">
        <f>C8/0.025</f>
        <v/>
      </c>
    </row>
    <row r="8" ht="22" customHeight="1">
      <c r="B8" s="96" t="inlineStr">
        <is>
          <t>Annual Expenses in Retirement ($)</t>
        </is>
      </c>
      <c r="C8" s="104">
        <f>'Budget &amp; Savings'!C28*12+'Budget &amp; Savings'!C45*12</f>
        <v/>
      </c>
      <c r="E8" s="125" t="inlineStr">
        <is>
          <t>Conservative 3%</t>
        </is>
      </c>
      <c r="F8" s="123">
        <f>C7*0.03</f>
        <v/>
      </c>
      <c r="G8" s="126">
        <f>C8/0.03</f>
        <v/>
      </c>
    </row>
    <row r="9" ht="22" customHeight="1">
      <c r="B9" s="96" t="inlineStr">
        <is>
          <t>Inflation Rate</t>
        </is>
      </c>
      <c r="C9" s="101" t="n">
        <v>0.03</v>
      </c>
      <c r="E9" s="127" t="inlineStr">
        <is>
          <t>Moderate 3.5%</t>
        </is>
      </c>
      <c r="F9" s="123">
        <f>C7*0.035</f>
        <v/>
      </c>
      <c r="G9" s="128">
        <f>C8/0.035</f>
        <v/>
      </c>
    </row>
    <row r="10" ht="22" customHeight="1">
      <c r="B10" s="96" t="inlineStr">
        <is>
          <t>Safe Withdrawal Rate (SWR)</t>
        </is>
      </c>
      <c r="C10" s="101" t="n">
        <v>0.04</v>
      </c>
      <c r="E10" s="129" t="inlineStr">
        <is>
          <t>Classic 4% Rule ★</t>
        </is>
      </c>
      <c r="F10" s="123">
        <f>C7*0.04</f>
        <v/>
      </c>
      <c r="G10" s="130">
        <f>C8/0.04</f>
        <v/>
      </c>
    </row>
    <row r="11" ht="22" customHeight="1">
      <c r="B11" s="96" t="inlineStr">
        <is>
          <t>Expected Portfolio Return Post-FIRE</t>
        </is>
      </c>
      <c r="C11" s="101" t="n">
        <v>0.07000000000000001</v>
      </c>
      <c r="E11" s="131" t="inlineStr">
        <is>
          <t>Aggressive 4.5%</t>
        </is>
      </c>
      <c r="F11" s="123">
        <f>C7*0.045</f>
        <v/>
      </c>
      <c r="G11" s="132">
        <f>C8/0.045</f>
        <v/>
      </c>
    </row>
    <row r="12" ht="22" customHeight="1">
      <c r="B12" s="96" t="inlineStr">
        <is>
          <t>Retirement Duration (years)</t>
        </is>
      </c>
      <c r="C12" s="97" t="n">
        <v>35</v>
      </c>
      <c r="E12" s="133" t="inlineStr">
        <is>
          <t>Very Aggressive 5%</t>
        </is>
      </c>
      <c r="F12" s="123">
        <f>C7*0.05</f>
        <v/>
      </c>
      <c r="G12" s="134">
        <f>C8/0.05</f>
        <v/>
      </c>
    </row>
    <row r="13" ht="22" customHeight="1">
      <c r="B13" s="96" t="inlineStr">
        <is>
          <t>Retirement Age</t>
        </is>
      </c>
      <c r="C13" s="135">
        <f>'Investment Growth'!C12</f>
        <v/>
      </c>
      <c r="E13" s="136" t="inlineStr">
        <is>
          <t>YOLO 6%</t>
        </is>
      </c>
      <c r="F13" s="123">
        <f>C7*0.06</f>
        <v/>
      </c>
      <c r="G13" s="137">
        <f>C8/0.06</f>
        <v/>
      </c>
    </row>
    <row r="14" ht="10" customHeight="1"/>
    <row r="15" ht="22" customHeight="1">
      <c r="B15" s="58" t="inlineStr">
        <is>
          <t>RETIREMENT VIABILITY ANALYSIS</t>
        </is>
      </c>
    </row>
    <row r="16" ht="26" customHeight="1">
      <c r="B16" s="43" t="inlineStr">
        <is>
          <t>Your Annual Withdrawal (at chosen SWR)</t>
        </is>
      </c>
      <c r="C16" s="138">
        <f>C7*C10</f>
        <v/>
      </c>
    </row>
    <row r="17" ht="26" customHeight="1">
      <c r="B17" s="43" t="inlineStr">
        <is>
          <t>Monthly Retirement Income</t>
        </is>
      </c>
      <c r="C17" s="139">
        <f>C7*C10/12</f>
        <v/>
      </c>
    </row>
    <row r="18" ht="26" customHeight="1">
      <c r="B18" s="52" t="inlineStr">
        <is>
          <t>FIRE Number Needed (your expenses÷SWR)</t>
        </is>
      </c>
      <c r="C18" s="140">
        <f>C8/C10</f>
        <v/>
      </c>
    </row>
    <row r="19" ht="26" customHeight="1">
      <c r="B19" s="141" t="inlineStr">
        <is>
          <t>Portfolio Surplus / Deficit vs FIRE#</t>
        </is>
      </c>
      <c r="C19" s="142">
        <f>C7-C8/C10</f>
        <v/>
      </c>
    </row>
    <row r="20" ht="26" customHeight="1">
      <c r="B20" s="49" t="inlineStr">
        <is>
          <t>FIRE READY?</t>
        </is>
      </c>
      <c r="C20" s="143">
        <f>IF(C7&gt;=C8/C10,"✅ YES — You Have Achieved FIRE!","⏳ Not Yet — Keep Going!")</f>
        <v/>
      </c>
    </row>
    <row r="21" ht="26" customHeight="1">
      <c r="B21" s="43" t="inlineStr">
        <is>
          <t>Years Portfolio Lasts (no returns)</t>
        </is>
      </c>
      <c r="C21" s="144">
        <f>C7/C8</f>
        <v/>
      </c>
    </row>
    <row r="22" ht="26" customHeight="1">
      <c r="B22" s="145" t="inlineStr">
        <is>
          <t>Breakeven Return Rate Needed</t>
        </is>
      </c>
      <c r="C22" s="146">
        <f>IFERROR(C10-C9,0)</f>
        <v/>
      </c>
    </row>
    <row r="23" ht="12" customHeight="1"/>
    <row r="24" ht="22" customHeight="1">
      <c r="B24" s="95" t="inlineStr">
        <is>
          <t>PORTFOLIO LONGEVITY SIMULATION — Year-by-Year Post-Retirement</t>
        </is>
      </c>
    </row>
    <row r="25" ht="20" customHeight="1">
      <c r="B25" s="13" t="inlineStr">
        <is>
          <t>Year</t>
        </is>
      </c>
      <c r="C25" s="13" t="inlineStr">
        <is>
          <t>Age</t>
        </is>
      </c>
      <c r="D25" s="13" t="inlineStr">
        <is>
          <t>Start Balance ($)</t>
        </is>
      </c>
      <c r="E25" s="13" t="inlineStr">
        <is>
          <t>Withdrawal (infl-adj) ($)</t>
        </is>
      </c>
      <c r="F25" s="13" t="inlineStr">
        <is>
          <t>Return on Portfolio ($)</t>
        </is>
      </c>
      <c r="G25" s="13" t="inlineStr">
        <is>
          <t>End Balance ($)</t>
        </is>
      </c>
      <c r="H25" s="13" t="inlineStr">
        <is>
          <t>Status</t>
        </is>
      </c>
    </row>
    <row r="26" ht="16" customHeight="1">
      <c r="B26" s="108" t="n">
        <v>1</v>
      </c>
      <c r="C26" s="108">
        <f>C13+1</f>
        <v/>
      </c>
      <c r="D26" s="109">
        <f>C7</f>
        <v/>
      </c>
      <c r="E26" s="147">
        <f>C8*(1+C9)^0</f>
        <v/>
      </c>
      <c r="F26" s="110">
        <f>MAX(D26-E26,0)*C11</f>
        <v/>
      </c>
      <c r="G26" s="123">
        <f>MAX(D26-E26+F26,0)</f>
        <v/>
      </c>
      <c r="H26" s="148">
        <f>IF(D26&lt;=0,"💀 Depleted",IF(G26&lt;=0,"💀 Depleted",IF(G26&lt;C8,"⚠️ Warning","✅ Healthy")))</f>
        <v/>
      </c>
    </row>
    <row r="27" ht="16" customHeight="1">
      <c r="B27" s="114" t="n">
        <v>2</v>
      </c>
      <c r="C27" s="114">
        <f>C13+2</f>
        <v/>
      </c>
      <c r="D27" s="115">
        <f>G26</f>
        <v/>
      </c>
      <c r="E27" s="149">
        <f>C8*(1+C9)^1</f>
        <v/>
      </c>
      <c r="F27" s="116">
        <f>MAX(D27-E27,0)*C11</f>
        <v/>
      </c>
      <c r="G27" s="150">
        <f>MAX(D27-E27+F27,0)</f>
        <v/>
      </c>
      <c r="H27" s="151">
        <f>IF(D27&lt;=0,"💀 Depleted",IF(G27&lt;=0,"💀 Depleted",IF(G27&lt;C8,"⚠️ Warning","✅ Healthy")))</f>
        <v/>
      </c>
    </row>
    <row r="28" ht="16" customHeight="1">
      <c r="B28" s="108" t="n">
        <v>3</v>
      </c>
      <c r="C28" s="108">
        <f>C13+3</f>
        <v/>
      </c>
      <c r="D28" s="109">
        <f>G27</f>
        <v/>
      </c>
      <c r="E28" s="147">
        <f>C8*(1+C9)^2</f>
        <v/>
      </c>
      <c r="F28" s="110">
        <f>MAX(D28-E28,0)*C11</f>
        <v/>
      </c>
      <c r="G28" s="123">
        <f>MAX(D28-E28+F28,0)</f>
        <v/>
      </c>
      <c r="H28" s="148">
        <f>IF(D28&lt;=0,"💀 Depleted",IF(G28&lt;=0,"💀 Depleted",IF(G28&lt;C8,"⚠️ Warning","✅ Healthy")))</f>
        <v/>
      </c>
    </row>
    <row r="29" ht="16" customHeight="1">
      <c r="B29" s="114" t="n">
        <v>4</v>
      </c>
      <c r="C29" s="114">
        <f>C13+4</f>
        <v/>
      </c>
      <c r="D29" s="115">
        <f>G28</f>
        <v/>
      </c>
      <c r="E29" s="149">
        <f>C8*(1+C9)^3</f>
        <v/>
      </c>
      <c r="F29" s="116">
        <f>MAX(D29-E29,0)*C11</f>
        <v/>
      </c>
      <c r="G29" s="150">
        <f>MAX(D29-E29+F29,0)</f>
        <v/>
      </c>
      <c r="H29" s="151">
        <f>IF(D29&lt;=0,"💀 Depleted",IF(G29&lt;=0,"💀 Depleted",IF(G29&lt;C8,"⚠️ Warning","✅ Healthy")))</f>
        <v/>
      </c>
    </row>
    <row r="30" ht="16" customHeight="1">
      <c r="B30" s="108" t="n">
        <v>5</v>
      </c>
      <c r="C30" s="108">
        <f>C13+5</f>
        <v/>
      </c>
      <c r="D30" s="109">
        <f>G29</f>
        <v/>
      </c>
      <c r="E30" s="147">
        <f>C8*(1+C9)^4</f>
        <v/>
      </c>
      <c r="F30" s="110">
        <f>MAX(D30-E30,0)*C11</f>
        <v/>
      </c>
      <c r="G30" s="123">
        <f>MAX(D30-E30+F30,0)</f>
        <v/>
      </c>
      <c r="H30" s="148">
        <f>IF(D30&lt;=0,"💀 Depleted",IF(G30&lt;=0,"💀 Depleted",IF(G30&lt;C8,"⚠️ Warning","✅ Healthy")))</f>
        <v/>
      </c>
    </row>
    <row r="31" ht="16" customHeight="1">
      <c r="B31" s="114" t="n">
        <v>6</v>
      </c>
      <c r="C31" s="114">
        <f>C13+6</f>
        <v/>
      </c>
      <c r="D31" s="115">
        <f>G30</f>
        <v/>
      </c>
      <c r="E31" s="149">
        <f>C8*(1+C9)^5</f>
        <v/>
      </c>
      <c r="F31" s="116">
        <f>MAX(D31-E31,0)*C11</f>
        <v/>
      </c>
      <c r="G31" s="150">
        <f>MAX(D31-E31+F31,0)</f>
        <v/>
      </c>
      <c r="H31" s="151">
        <f>IF(D31&lt;=0,"💀 Depleted",IF(G31&lt;=0,"💀 Depleted",IF(G31&lt;C8,"⚠️ Warning","✅ Healthy")))</f>
        <v/>
      </c>
    </row>
    <row r="32" ht="16" customHeight="1">
      <c r="B32" s="108" t="n">
        <v>7</v>
      </c>
      <c r="C32" s="108">
        <f>C13+7</f>
        <v/>
      </c>
      <c r="D32" s="109">
        <f>G31</f>
        <v/>
      </c>
      <c r="E32" s="147">
        <f>C8*(1+C9)^6</f>
        <v/>
      </c>
      <c r="F32" s="110">
        <f>MAX(D32-E32,0)*C11</f>
        <v/>
      </c>
      <c r="G32" s="123">
        <f>MAX(D32-E32+F32,0)</f>
        <v/>
      </c>
      <c r="H32" s="148">
        <f>IF(D32&lt;=0,"💀 Depleted",IF(G32&lt;=0,"💀 Depleted",IF(G32&lt;C8,"⚠️ Warning","✅ Healthy")))</f>
        <v/>
      </c>
    </row>
    <row r="33" ht="16" customHeight="1">
      <c r="B33" s="114" t="n">
        <v>8</v>
      </c>
      <c r="C33" s="114">
        <f>C13+8</f>
        <v/>
      </c>
      <c r="D33" s="115">
        <f>G32</f>
        <v/>
      </c>
      <c r="E33" s="149">
        <f>C8*(1+C9)^7</f>
        <v/>
      </c>
      <c r="F33" s="116">
        <f>MAX(D33-E33,0)*C11</f>
        <v/>
      </c>
      <c r="G33" s="150">
        <f>MAX(D33-E33+F33,0)</f>
        <v/>
      </c>
      <c r="H33" s="151">
        <f>IF(D33&lt;=0,"💀 Depleted",IF(G33&lt;=0,"💀 Depleted",IF(G33&lt;C8,"⚠️ Warning","✅ Healthy")))</f>
        <v/>
      </c>
    </row>
    <row r="34" ht="16" customHeight="1">
      <c r="B34" s="108" t="n">
        <v>9</v>
      </c>
      <c r="C34" s="108">
        <f>C13+9</f>
        <v/>
      </c>
      <c r="D34" s="109">
        <f>G33</f>
        <v/>
      </c>
      <c r="E34" s="147">
        <f>C8*(1+C9)^8</f>
        <v/>
      </c>
      <c r="F34" s="110">
        <f>MAX(D34-E34,0)*C11</f>
        <v/>
      </c>
      <c r="G34" s="123">
        <f>MAX(D34-E34+F34,0)</f>
        <v/>
      </c>
      <c r="H34" s="148">
        <f>IF(D34&lt;=0,"💀 Depleted",IF(G34&lt;=0,"💀 Depleted",IF(G34&lt;C8,"⚠️ Warning","✅ Healthy")))</f>
        <v/>
      </c>
    </row>
    <row r="35" ht="16" customHeight="1">
      <c r="B35" s="114" t="n">
        <v>10</v>
      </c>
      <c r="C35" s="114">
        <f>C13+10</f>
        <v/>
      </c>
      <c r="D35" s="115">
        <f>G34</f>
        <v/>
      </c>
      <c r="E35" s="149">
        <f>C8*(1+C9)^9</f>
        <v/>
      </c>
      <c r="F35" s="116">
        <f>MAX(D35-E35,0)*C11</f>
        <v/>
      </c>
      <c r="G35" s="150">
        <f>MAX(D35-E35+F35,0)</f>
        <v/>
      </c>
      <c r="H35" s="151">
        <f>IF(D35&lt;=0,"💀 Depleted",IF(G35&lt;=0,"💀 Depleted",IF(G35&lt;C8,"⚠️ Warning","✅ Healthy")))</f>
        <v/>
      </c>
    </row>
    <row r="36" ht="16" customHeight="1">
      <c r="B36" s="108" t="n">
        <v>11</v>
      </c>
      <c r="C36" s="108">
        <f>C13+11</f>
        <v/>
      </c>
      <c r="D36" s="109">
        <f>G35</f>
        <v/>
      </c>
      <c r="E36" s="147">
        <f>C8*(1+C9)^10</f>
        <v/>
      </c>
      <c r="F36" s="110">
        <f>MAX(D36-E36,0)*C11</f>
        <v/>
      </c>
      <c r="G36" s="123">
        <f>MAX(D36-E36+F36,0)</f>
        <v/>
      </c>
      <c r="H36" s="148">
        <f>IF(D36&lt;=0,"💀 Depleted",IF(G36&lt;=0,"💀 Depleted",IF(G36&lt;C8,"⚠️ Warning","✅ Healthy")))</f>
        <v/>
      </c>
    </row>
    <row r="37" ht="16" customHeight="1">
      <c r="B37" s="114" t="n">
        <v>12</v>
      </c>
      <c r="C37" s="114">
        <f>C13+12</f>
        <v/>
      </c>
      <c r="D37" s="115">
        <f>G36</f>
        <v/>
      </c>
      <c r="E37" s="149">
        <f>C8*(1+C9)^11</f>
        <v/>
      </c>
      <c r="F37" s="116">
        <f>MAX(D37-E37,0)*C11</f>
        <v/>
      </c>
      <c r="G37" s="150">
        <f>MAX(D37-E37+F37,0)</f>
        <v/>
      </c>
      <c r="H37" s="151">
        <f>IF(D37&lt;=0,"💀 Depleted",IF(G37&lt;=0,"💀 Depleted",IF(G37&lt;C8,"⚠️ Warning","✅ Healthy")))</f>
        <v/>
      </c>
    </row>
    <row r="38" ht="16" customHeight="1">
      <c r="B38" s="108" t="n">
        <v>13</v>
      </c>
      <c r="C38" s="108">
        <f>C13+13</f>
        <v/>
      </c>
      <c r="D38" s="109">
        <f>G37</f>
        <v/>
      </c>
      <c r="E38" s="147">
        <f>C8*(1+C9)^12</f>
        <v/>
      </c>
      <c r="F38" s="110">
        <f>MAX(D38-E38,0)*C11</f>
        <v/>
      </c>
      <c r="G38" s="123">
        <f>MAX(D38-E38+F38,0)</f>
        <v/>
      </c>
      <c r="H38" s="148">
        <f>IF(D38&lt;=0,"💀 Depleted",IF(G38&lt;=0,"💀 Depleted",IF(G38&lt;C8,"⚠️ Warning","✅ Healthy")))</f>
        <v/>
      </c>
    </row>
    <row r="39" ht="16" customHeight="1">
      <c r="B39" s="114" t="n">
        <v>14</v>
      </c>
      <c r="C39" s="114">
        <f>C13+14</f>
        <v/>
      </c>
      <c r="D39" s="115">
        <f>G38</f>
        <v/>
      </c>
      <c r="E39" s="149">
        <f>C8*(1+C9)^13</f>
        <v/>
      </c>
      <c r="F39" s="116">
        <f>MAX(D39-E39,0)*C11</f>
        <v/>
      </c>
      <c r="G39" s="150">
        <f>MAX(D39-E39+F39,0)</f>
        <v/>
      </c>
      <c r="H39" s="151">
        <f>IF(D39&lt;=0,"💀 Depleted",IF(G39&lt;=0,"💀 Depleted",IF(G39&lt;C8,"⚠️ Warning","✅ Healthy")))</f>
        <v/>
      </c>
    </row>
    <row r="40" ht="16" customHeight="1">
      <c r="B40" s="108" t="n">
        <v>15</v>
      </c>
      <c r="C40" s="108">
        <f>C13+15</f>
        <v/>
      </c>
      <c r="D40" s="109">
        <f>G39</f>
        <v/>
      </c>
      <c r="E40" s="147">
        <f>C8*(1+C9)^14</f>
        <v/>
      </c>
      <c r="F40" s="110">
        <f>MAX(D40-E40,0)*C11</f>
        <v/>
      </c>
      <c r="G40" s="123">
        <f>MAX(D40-E40+F40,0)</f>
        <v/>
      </c>
      <c r="H40" s="148">
        <f>IF(D40&lt;=0,"💀 Depleted",IF(G40&lt;=0,"💀 Depleted",IF(G40&lt;C8,"⚠️ Warning","✅ Healthy")))</f>
        <v/>
      </c>
    </row>
    <row r="41" ht="16" customHeight="1">
      <c r="B41" s="114" t="n">
        <v>16</v>
      </c>
      <c r="C41" s="114">
        <f>C13+16</f>
        <v/>
      </c>
      <c r="D41" s="115">
        <f>G40</f>
        <v/>
      </c>
      <c r="E41" s="149">
        <f>C8*(1+C9)^15</f>
        <v/>
      </c>
      <c r="F41" s="116">
        <f>MAX(D41-E41,0)*C11</f>
        <v/>
      </c>
      <c r="G41" s="150">
        <f>MAX(D41-E41+F41,0)</f>
        <v/>
      </c>
      <c r="H41" s="151">
        <f>IF(D41&lt;=0,"💀 Depleted",IF(G41&lt;=0,"💀 Depleted",IF(G41&lt;C8,"⚠️ Warning","✅ Healthy")))</f>
        <v/>
      </c>
    </row>
    <row r="42" ht="16" customHeight="1">
      <c r="B42" s="108" t="n">
        <v>17</v>
      </c>
      <c r="C42" s="108">
        <f>C13+17</f>
        <v/>
      </c>
      <c r="D42" s="109">
        <f>G41</f>
        <v/>
      </c>
      <c r="E42" s="147">
        <f>C8*(1+C9)^16</f>
        <v/>
      </c>
      <c r="F42" s="110">
        <f>MAX(D42-E42,0)*C11</f>
        <v/>
      </c>
      <c r="G42" s="123">
        <f>MAX(D42-E42+F42,0)</f>
        <v/>
      </c>
      <c r="H42" s="148">
        <f>IF(D42&lt;=0,"💀 Depleted",IF(G42&lt;=0,"💀 Depleted",IF(G42&lt;C8,"⚠️ Warning","✅ Healthy")))</f>
        <v/>
      </c>
    </row>
    <row r="43" ht="16" customHeight="1">
      <c r="B43" s="114" t="n">
        <v>18</v>
      </c>
      <c r="C43" s="114">
        <f>C13+18</f>
        <v/>
      </c>
      <c r="D43" s="115">
        <f>G42</f>
        <v/>
      </c>
      <c r="E43" s="149">
        <f>C8*(1+C9)^17</f>
        <v/>
      </c>
      <c r="F43" s="116">
        <f>MAX(D43-E43,0)*C11</f>
        <v/>
      </c>
      <c r="G43" s="150">
        <f>MAX(D43-E43+F43,0)</f>
        <v/>
      </c>
      <c r="H43" s="151">
        <f>IF(D43&lt;=0,"💀 Depleted",IF(G43&lt;=0,"💀 Depleted",IF(G43&lt;C8,"⚠️ Warning","✅ Healthy")))</f>
        <v/>
      </c>
    </row>
    <row r="44" ht="16" customHeight="1">
      <c r="B44" s="108" t="n">
        <v>19</v>
      </c>
      <c r="C44" s="108">
        <f>C13+19</f>
        <v/>
      </c>
      <c r="D44" s="109">
        <f>G43</f>
        <v/>
      </c>
      <c r="E44" s="147">
        <f>C8*(1+C9)^18</f>
        <v/>
      </c>
      <c r="F44" s="110">
        <f>MAX(D44-E44,0)*C11</f>
        <v/>
      </c>
      <c r="G44" s="123">
        <f>MAX(D44-E44+F44,0)</f>
        <v/>
      </c>
      <c r="H44" s="148">
        <f>IF(D44&lt;=0,"💀 Depleted",IF(G44&lt;=0,"💀 Depleted",IF(G44&lt;C8,"⚠️ Warning","✅ Healthy")))</f>
        <v/>
      </c>
    </row>
    <row r="45" ht="16" customHeight="1">
      <c r="B45" s="114" t="n">
        <v>20</v>
      </c>
      <c r="C45" s="114">
        <f>C13+20</f>
        <v/>
      </c>
      <c r="D45" s="115">
        <f>G44</f>
        <v/>
      </c>
      <c r="E45" s="149">
        <f>C8*(1+C9)^19</f>
        <v/>
      </c>
      <c r="F45" s="116">
        <f>MAX(D45-E45,0)*C11</f>
        <v/>
      </c>
      <c r="G45" s="150">
        <f>MAX(D45-E45+F45,0)</f>
        <v/>
      </c>
      <c r="H45" s="151">
        <f>IF(D45&lt;=0,"💀 Depleted",IF(G45&lt;=0,"💀 Depleted",IF(G45&lt;C8,"⚠️ Warning","✅ Healthy")))</f>
        <v/>
      </c>
    </row>
    <row r="46" ht="16" customHeight="1">
      <c r="B46" s="108" t="n">
        <v>21</v>
      </c>
      <c r="C46" s="108">
        <f>C13+21</f>
        <v/>
      </c>
      <c r="D46" s="109">
        <f>G45</f>
        <v/>
      </c>
      <c r="E46" s="147">
        <f>C8*(1+C9)^20</f>
        <v/>
      </c>
      <c r="F46" s="110">
        <f>MAX(D46-E46,0)*C11</f>
        <v/>
      </c>
      <c r="G46" s="123">
        <f>MAX(D46-E46+F46,0)</f>
        <v/>
      </c>
      <c r="H46" s="148">
        <f>IF(D46&lt;=0,"💀 Depleted",IF(G46&lt;=0,"💀 Depleted",IF(G46&lt;C8,"⚠️ Warning","✅ Healthy")))</f>
        <v/>
      </c>
    </row>
    <row r="47" ht="16" customHeight="1">
      <c r="B47" s="114" t="n">
        <v>22</v>
      </c>
      <c r="C47" s="114">
        <f>C13+22</f>
        <v/>
      </c>
      <c r="D47" s="115">
        <f>G46</f>
        <v/>
      </c>
      <c r="E47" s="149">
        <f>C8*(1+C9)^21</f>
        <v/>
      </c>
      <c r="F47" s="116">
        <f>MAX(D47-E47,0)*C11</f>
        <v/>
      </c>
      <c r="G47" s="150">
        <f>MAX(D47-E47+F47,0)</f>
        <v/>
      </c>
      <c r="H47" s="151">
        <f>IF(D47&lt;=0,"💀 Depleted",IF(G47&lt;=0,"💀 Depleted",IF(G47&lt;C8,"⚠️ Warning","✅ Healthy")))</f>
        <v/>
      </c>
    </row>
    <row r="48" ht="16" customHeight="1">
      <c r="B48" s="108" t="n">
        <v>23</v>
      </c>
      <c r="C48" s="108">
        <f>C13+23</f>
        <v/>
      </c>
      <c r="D48" s="109">
        <f>G47</f>
        <v/>
      </c>
      <c r="E48" s="147">
        <f>C8*(1+C9)^22</f>
        <v/>
      </c>
      <c r="F48" s="110">
        <f>MAX(D48-E48,0)*C11</f>
        <v/>
      </c>
      <c r="G48" s="123">
        <f>MAX(D48-E48+F48,0)</f>
        <v/>
      </c>
      <c r="H48" s="148">
        <f>IF(D48&lt;=0,"💀 Depleted",IF(G48&lt;=0,"💀 Depleted",IF(G48&lt;C8,"⚠️ Warning","✅ Healthy")))</f>
        <v/>
      </c>
    </row>
    <row r="49" ht="16" customHeight="1">
      <c r="B49" s="114" t="n">
        <v>24</v>
      </c>
      <c r="C49" s="114">
        <f>C13+24</f>
        <v/>
      </c>
      <c r="D49" s="115">
        <f>G48</f>
        <v/>
      </c>
      <c r="E49" s="149">
        <f>C8*(1+C9)^23</f>
        <v/>
      </c>
      <c r="F49" s="116">
        <f>MAX(D49-E49,0)*C11</f>
        <v/>
      </c>
      <c r="G49" s="150">
        <f>MAX(D49-E49+F49,0)</f>
        <v/>
      </c>
      <c r="H49" s="151">
        <f>IF(D49&lt;=0,"💀 Depleted",IF(G49&lt;=0,"💀 Depleted",IF(G49&lt;C8,"⚠️ Warning","✅ Healthy")))</f>
        <v/>
      </c>
    </row>
    <row r="50" ht="16" customHeight="1">
      <c r="B50" s="108" t="n">
        <v>25</v>
      </c>
      <c r="C50" s="108">
        <f>C13+25</f>
        <v/>
      </c>
      <c r="D50" s="109">
        <f>G49</f>
        <v/>
      </c>
      <c r="E50" s="147">
        <f>C8*(1+C9)^24</f>
        <v/>
      </c>
      <c r="F50" s="110">
        <f>MAX(D50-E50,0)*C11</f>
        <v/>
      </c>
      <c r="G50" s="123">
        <f>MAX(D50-E50+F50,0)</f>
        <v/>
      </c>
      <c r="H50" s="148">
        <f>IF(D50&lt;=0,"💀 Depleted",IF(G50&lt;=0,"💀 Depleted",IF(G50&lt;C8,"⚠️ Warning","✅ Healthy")))</f>
        <v/>
      </c>
    </row>
    <row r="51" ht="16" customHeight="1">
      <c r="B51" s="114" t="n">
        <v>26</v>
      </c>
      <c r="C51" s="114">
        <f>C13+26</f>
        <v/>
      </c>
      <c r="D51" s="115">
        <f>G50</f>
        <v/>
      </c>
      <c r="E51" s="149">
        <f>C8*(1+C9)^25</f>
        <v/>
      </c>
      <c r="F51" s="116">
        <f>MAX(D51-E51,0)*C11</f>
        <v/>
      </c>
      <c r="G51" s="150">
        <f>MAX(D51-E51+F51,0)</f>
        <v/>
      </c>
      <c r="H51" s="151">
        <f>IF(D51&lt;=0,"💀 Depleted",IF(G51&lt;=0,"💀 Depleted",IF(G51&lt;C8,"⚠️ Warning","✅ Healthy")))</f>
        <v/>
      </c>
    </row>
    <row r="52" ht="16" customHeight="1">
      <c r="B52" s="108" t="n">
        <v>27</v>
      </c>
      <c r="C52" s="108">
        <f>C13+27</f>
        <v/>
      </c>
      <c r="D52" s="109">
        <f>G51</f>
        <v/>
      </c>
      <c r="E52" s="147">
        <f>C8*(1+C9)^26</f>
        <v/>
      </c>
      <c r="F52" s="110">
        <f>MAX(D52-E52,0)*C11</f>
        <v/>
      </c>
      <c r="G52" s="123">
        <f>MAX(D52-E52+F52,0)</f>
        <v/>
      </c>
      <c r="H52" s="148">
        <f>IF(D52&lt;=0,"💀 Depleted",IF(G52&lt;=0,"💀 Depleted",IF(G52&lt;C8,"⚠️ Warning","✅ Healthy")))</f>
        <v/>
      </c>
    </row>
    <row r="53" ht="16" customHeight="1">
      <c r="B53" s="114" t="n">
        <v>28</v>
      </c>
      <c r="C53" s="114">
        <f>C13+28</f>
        <v/>
      </c>
      <c r="D53" s="115">
        <f>G52</f>
        <v/>
      </c>
      <c r="E53" s="149">
        <f>C8*(1+C9)^27</f>
        <v/>
      </c>
      <c r="F53" s="116">
        <f>MAX(D53-E53,0)*C11</f>
        <v/>
      </c>
      <c r="G53" s="150">
        <f>MAX(D53-E53+F53,0)</f>
        <v/>
      </c>
      <c r="H53" s="151">
        <f>IF(D53&lt;=0,"💀 Depleted",IF(G53&lt;=0,"💀 Depleted",IF(G53&lt;C8,"⚠️ Warning","✅ Healthy")))</f>
        <v/>
      </c>
    </row>
    <row r="54" ht="16" customHeight="1">
      <c r="B54" s="108" t="n">
        <v>29</v>
      </c>
      <c r="C54" s="108">
        <f>C13+29</f>
        <v/>
      </c>
      <c r="D54" s="109">
        <f>G53</f>
        <v/>
      </c>
      <c r="E54" s="147">
        <f>C8*(1+C9)^28</f>
        <v/>
      </c>
      <c r="F54" s="110">
        <f>MAX(D54-E54,0)*C11</f>
        <v/>
      </c>
      <c r="G54" s="123">
        <f>MAX(D54-E54+F54,0)</f>
        <v/>
      </c>
      <c r="H54" s="148">
        <f>IF(D54&lt;=0,"💀 Depleted",IF(G54&lt;=0,"💀 Depleted",IF(G54&lt;C8,"⚠️ Warning","✅ Healthy")))</f>
        <v/>
      </c>
    </row>
    <row r="55" ht="16" customHeight="1">
      <c r="B55" s="114" t="n">
        <v>30</v>
      </c>
      <c r="C55" s="114">
        <f>C13+30</f>
        <v/>
      </c>
      <c r="D55" s="115">
        <f>G54</f>
        <v/>
      </c>
      <c r="E55" s="149">
        <f>C8*(1+C9)^29</f>
        <v/>
      </c>
      <c r="F55" s="116">
        <f>MAX(D55-E55,0)*C11</f>
        <v/>
      </c>
      <c r="G55" s="150">
        <f>MAX(D55-E55+F55,0)</f>
        <v/>
      </c>
      <c r="H55" s="151">
        <f>IF(D55&lt;=0,"💀 Depleted",IF(G55&lt;=0,"💀 Depleted",IF(G55&lt;C8,"⚠️ Warning","✅ Healthy")))</f>
        <v/>
      </c>
    </row>
    <row r="56" ht="16" customHeight="1">
      <c r="B56" s="108" t="n">
        <v>31</v>
      </c>
      <c r="C56" s="108">
        <f>C13+31</f>
        <v/>
      </c>
      <c r="D56" s="109">
        <f>G55</f>
        <v/>
      </c>
      <c r="E56" s="147">
        <f>C8*(1+C9)^30</f>
        <v/>
      </c>
      <c r="F56" s="110">
        <f>MAX(D56-E56,0)*C11</f>
        <v/>
      </c>
      <c r="G56" s="123">
        <f>MAX(D56-E56+F56,0)</f>
        <v/>
      </c>
      <c r="H56" s="148">
        <f>IF(D56&lt;=0,"💀 Depleted",IF(G56&lt;=0,"💀 Depleted",IF(G56&lt;C8,"⚠️ Warning","✅ Healthy")))</f>
        <v/>
      </c>
    </row>
    <row r="57" ht="16" customHeight="1">
      <c r="B57" s="114" t="n">
        <v>32</v>
      </c>
      <c r="C57" s="114">
        <f>C13+32</f>
        <v/>
      </c>
      <c r="D57" s="115">
        <f>G56</f>
        <v/>
      </c>
      <c r="E57" s="149">
        <f>C8*(1+C9)^31</f>
        <v/>
      </c>
      <c r="F57" s="116">
        <f>MAX(D57-E57,0)*C11</f>
        <v/>
      </c>
      <c r="G57" s="150">
        <f>MAX(D57-E57+F57,0)</f>
        <v/>
      </c>
      <c r="H57" s="151">
        <f>IF(D57&lt;=0,"💀 Depleted",IF(G57&lt;=0,"💀 Depleted",IF(G57&lt;C8,"⚠️ Warning","✅ Healthy")))</f>
        <v/>
      </c>
    </row>
    <row r="58" ht="16" customHeight="1">
      <c r="B58" s="108" t="n">
        <v>33</v>
      </c>
      <c r="C58" s="108">
        <f>C13+33</f>
        <v/>
      </c>
      <c r="D58" s="109">
        <f>G57</f>
        <v/>
      </c>
      <c r="E58" s="147">
        <f>C8*(1+C9)^32</f>
        <v/>
      </c>
      <c r="F58" s="110">
        <f>MAX(D58-E58,0)*C11</f>
        <v/>
      </c>
      <c r="G58" s="123">
        <f>MAX(D58-E58+F58,0)</f>
        <v/>
      </c>
      <c r="H58" s="148">
        <f>IF(D58&lt;=0,"💀 Depleted",IF(G58&lt;=0,"💀 Depleted",IF(G58&lt;C8,"⚠️ Warning","✅ Healthy")))</f>
        <v/>
      </c>
    </row>
    <row r="59" ht="16" customHeight="1">
      <c r="B59" s="114" t="n">
        <v>34</v>
      </c>
      <c r="C59" s="114">
        <f>C13+34</f>
        <v/>
      </c>
      <c r="D59" s="115">
        <f>G58</f>
        <v/>
      </c>
      <c r="E59" s="149">
        <f>C8*(1+C9)^33</f>
        <v/>
      </c>
      <c r="F59" s="116">
        <f>MAX(D59-E59,0)*C11</f>
        <v/>
      </c>
      <c r="G59" s="150">
        <f>MAX(D59-E59+F59,0)</f>
        <v/>
      </c>
      <c r="H59" s="151">
        <f>IF(D59&lt;=0,"💀 Depleted",IF(G59&lt;=0,"💀 Depleted",IF(G59&lt;C8,"⚠️ Warning","✅ Healthy")))</f>
        <v/>
      </c>
    </row>
    <row r="60" ht="16" customHeight="1">
      <c r="B60" s="108" t="n">
        <v>35</v>
      </c>
      <c r="C60" s="108">
        <f>C13+35</f>
        <v/>
      </c>
      <c r="D60" s="109">
        <f>G59</f>
        <v/>
      </c>
      <c r="E60" s="147">
        <f>C8*(1+C9)^34</f>
        <v/>
      </c>
      <c r="F60" s="110">
        <f>MAX(D60-E60,0)*C11</f>
        <v/>
      </c>
      <c r="G60" s="123">
        <f>MAX(D60-E60+F60,0)</f>
        <v/>
      </c>
      <c r="H60" s="148">
        <f>IF(D60&lt;=0,"💀 Depleted",IF(G60&lt;=0,"💀 Depleted",IF(G60&lt;C8,"⚠️ Warning","✅ Healthy")))</f>
        <v/>
      </c>
    </row>
    <row r="61" ht="16" customHeight="1">
      <c r="B61" s="114" t="n">
        <v>36</v>
      </c>
      <c r="C61" s="114">
        <f>C13+36</f>
        <v/>
      </c>
      <c r="D61" s="115">
        <f>G60</f>
        <v/>
      </c>
      <c r="E61" s="149">
        <f>C8*(1+C9)^35</f>
        <v/>
      </c>
      <c r="F61" s="116">
        <f>MAX(D61-E61,0)*C11</f>
        <v/>
      </c>
      <c r="G61" s="150">
        <f>MAX(D61-E61+F61,0)</f>
        <v/>
      </c>
      <c r="H61" s="151">
        <f>IF(D61&lt;=0,"💀 Depleted",IF(G61&lt;=0,"💀 Depleted",IF(G61&lt;C8,"⚠️ Warning","✅ Healthy")))</f>
        <v/>
      </c>
    </row>
    <row r="62" ht="16" customHeight="1">
      <c r="B62" s="108" t="n">
        <v>37</v>
      </c>
      <c r="C62" s="108">
        <f>C13+37</f>
        <v/>
      </c>
      <c r="D62" s="109">
        <f>G61</f>
        <v/>
      </c>
      <c r="E62" s="147">
        <f>C8*(1+C9)^36</f>
        <v/>
      </c>
      <c r="F62" s="110">
        <f>MAX(D62-E62,0)*C11</f>
        <v/>
      </c>
      <c r="G62" s="123">
        <f>MAX(D62-E62+F62,0)</f>
        <v/>
      </c>
      <c r="H62" s="148">
        <f>IF(D62&lt;=0,"💀 Depleted",IF(G62&lt;=0,"💀 Depleted",IF(G62&lt;C8,"⚠️ Warning","✅ Healthy")))</f>
        <v/>
      </c>
    </row>
    <row r="63" ht="16" customHeight="1">
      <c r="B63" s="114" t="n">
        <v>38</v>
      </c>
      <c r="C63" s="114">
        <f>C13+38</f>
        <v/>
      </c>
      <c r="D63" s="115">
        <f>G62</f>
        <v/>
      </c>
      <c r="E63" s="149">
        <f>C8*(1+C9)^37</f>
        <v/>
      </c>
      <c r="F63" s="116">
        <f>MAX(D63-E63,0)*C11</f>
        <v/>
      </c>
      <c r="G63" s="150">
        <f>MAX(D63-E63+F63,0)</f>
        <v/>
      </c>
      <c r="H63" s="151">
        <f>IF(D63&lt;=0,"💀 Depleted",IF(G63&lt;=0,"💀 Depleted",IF(G63&lt;C8,"⚠️ Warning","✅ Healthy")))</f>
        <v/>
      </c>
    </row>
    <row r="64" ht="16" customHeight="1">
      <c r="B64" s="108" t="n">
        <v>39</v>
      </c>
      <c r="C64" s="108">
        <f>C13+39</f>
        <v/>
      </c>
      <c r="D64" s="109">
        <f>G63</f>
        <v/>
      </c>
      <c r="E64" s="147">
        <f>C8*(1+C9)^38</f>
        <v/>
      </c>
      <c r="F64" s="110">
        <f>MAX(D64-E64,0)*C11</f>
        <v/>
      </c>
      <c r="G64" s="123">
        <f>MAX(D64-E64+F64,0)</f>
        <v/>
      </c>
      <c r="H64" s="148">
        <f>IF(D64&lt;=0,"💀 Depleted",IF(G64&lt;=0,"💀 Depleted",IF(G64&lt;C8,"⚠️ Warning","✅ Healthy")))</f>
        <v/>
      </c>
    </row>
    <row r="65" ht="16" customHeight="1">
      <c r="B65" s="114" t="n">
        <v>40</v>
      </c>
      <c r="C65" s="114">
        <f>C13+40</f>
        <v/>
      </c>
      <c r="D65" s="115">
        <f>G64</f>
        <v/>
      </c>
      <c r="E65" s="149">
        <f>C8*(1+C9)^39</f>
        <v/>
      </c>
      <c r="F65" s="116">
        <f>MAX(D65-E65,0)*C11</f>
        <v/>
      </c>
      <c r="G65" s="150">
        <f>MAX(D65-E65+F65,0)</f>
        <v/>
      </c>
      <c r="H65" s="151">
        <f>IF(D65&lt;=0,"💀 Depleted",IF(G65&lt;=0,"💀 Depleted",IF(G65&lt;C8,"⚠️ Warning","✅ Healthy")))</f>
        <v/>
      </c>
    </row>
    <row r="66" ht="16" customHeight="1">
      <c r="B66" s="108" t="n">
        <v>41</v>
      </c>
      <c r="C66" s="108">
        <f>C13+41</f>
        <v/>
      </c>
      <c r="D66" s="109">
        <f>G65</f>
        <v/>
      </c>
      <c r="E66" s="147">
        <f>C8*(1+C9)^40</f>
        <v/>
      </c>
      <c r="F66" s="110">
        <f>MAX(D66-E66,0)*C11</f>
        <v/>
      </c>
      <c r="G66" s="123">
        <f>MAX(D66-E66+F66,0)</f>
        <v/>
      </c>
      <c r="H66" s="148">
        <f>IF(D66&lt;=0,"💀 Depleted",IF(G66&lt;=0,"💀 Depleted",IF(G66&lt;C8,"⚠️ Warning","✅ Healthy")))</f>
        <v/>
      </c>
    </row>
    <row r="67" ht="16" customHeight="1">
      <c r="B67" s="114" t="n">
        <v>42</v>
      </c>
      <c r="C67" s="114">
        <f>C13+42</f>
        <v/>
      </c>
      <c r="D67" s="115">
        <f>G66</f>
        <v/>
      </c>
      <c r="E67" s="149">
        <f>C8*(1+C9)^41</f>
        <v/>
      </c>
      <c r="F67" s="116">
        <f>MAX(D67-E67,0)*C11</f>
        <v/>
      </c>
      <c r="G67" s="150">
        <f>MAX(D67-E67+F67,0)</f>
        <v/>
      </c>
      <c r="H67" s="151">
        <f>IF(D67&lt;=0,"💀 Depleted",IF(G67&lt;=0,"💀 Depleted",IF(G67&lt;C8,"⚠️ Warning","✅ Healthy")))</f>
        <v/>
      </c>
    </row>
    <row r="68" ht="16" customHeight="1">
      <c r="B68" s="108" t="n">
        <v>43</v>
      </c>
      <c r="C68" s="108">
        <f>C13+43</f>
        <v/>
      </c>
      <c r="D68" s="109">
        <f>G67</f>
        <v/>
      </c>
      <c r="E68" s="147">
        <f>C8*(1+C9)^42</f>
        <v/>
      </c>
      <c r="F68" s="110">
        <f>MAX(D68-E68,0)*C11</f>
        <v/>
      </c>
      <c r="G68" s="123">
        <f>MAX(D68-E68+F68,0)</f>
        <v/>
      </c>
      <c r="H68" s="148">
        <f>IF(D68&lt;=0,"💀 Depleted",IF(G68&lt;=0,"💀 Depleted",IF(G68&lt;C8,"⚠️ Warning","✅ Healthy")))</f>
        <v/>
      </c>
    </row>
    <row r="69" ht="16" customHeight="1">
      <c r="B69" s="114" t="n">
        <v>44</v>
      </c>
      <c r="C69" s="114">
        <f>C13+44</f>
        <v/>
      </c>
      <c r="D69" s="115">
        <f>G68</f>
        <v/>
      </c>
      <c r="E69" s="149">
        <f>C8*(1+C9)^43</f>
        <v/>
      </c>
      <c r="F69" s="116">
        <f>MAX(D69-E69,0)*C11</f>
        <v/>
      </c>
      <c r="G69" s="150">
        <f>MAX(D69-E69+F69,0)</f>
        <v/>
      </c>
      <c r="H69" s="151">
        <f>IF(D69&lt;=0,"💀 Depleted",IF(G69&lt;=0,"💀 Depleted",IF(G69&lt;C8,"⚠️ Warning","✅ Healthy")))</f>
        <v/>
      </c>
    </row>
    <row r="70" ht="16" customHeight="1">
      <c r="B70" s="108" t="n">
        <v>45</v>
      </c>
      <c r="C70" s="108">
        <f>C13+45</f>
        <v/>
      </c>
      <c r="D70" s="109">
        <f>G69</f>
        <v/>
      </c>
      <c r="E70" s="147">
        <f>C8*(1+C9)^44</f>
        <v/>
      </c>
      <c r="F70" s="110">
        <f>MAX(D70-E70,0)*C11</f>
        <v/>
      </c>
      <c r="G70" s="123">
        <f>MAX(D70-E70+F70,0)</f>
        <v/>
      </c>
      <c r="H70" s="148">
        <f>IF(D70&lt;=0,"💀 Depleted",IF(G70&lt;=0,"💀 Depleted",IF(G70&lt;C8,"⚠️ Warning","✅ Healthy")))</f>
        <v/>
      </c>
    </row>
    <row r="71" ht="16" customHeight="1">
      <c r="B71" s="114" t="n">
        <v>46</v>
      </c>
      <c r="C71" s="114">
        <f>C13+46</f>
        <v/>
      </c>
      <c r="D71" s="115">
        <f>G70</f>
        <v/>
      </c>
      <c r="E71" s="149">
        <f>C8*(1+C9)^45</f>
        <v/>
      </c>
      <c r="F71" s="116">
        <f>MAX(D71-E71,0)*C11</f>
        <v/>
      </c>
      <c r="G71" s="150">
        <f>MAX(D71-E71+F71,0)</f>
        <v/>
      </c>
      <c r="H71" s="151">
        <f>IF(D71&lt;=0,"💀 Depleted",IF(G71&lt;=0,"💀 Depleted",IF(G71&lt;C8,"⚠️ Warning","✅ Healthy")))</f>
        <v/>
      </c>
    </row>
    <row r="72" ht="16" customHeight="1">
      <c r="B72" s="108" t="n">
        <v>47</v>
      </c>
      <c r="C72" s="108">
        <f>C13+47</f>
        <v/>
      </c>
      <c r="D72" s="109">
        <f>G71</f>
        <v/>
      </c>
      <c r="E72" s="147">
        <f>C8*(1+C9)^46</f>
        <v/>
      </c>
      <c r="F72" s="110">
        <f>MAX(D72-E72,0)*C11</f>
        <v/>
      </c>
      <c r="G72" s="123">
        <f>MAX(D72-E72+F72,0)</f>
        <v/>
      </c>
      <c r="H72" s="148">
        <f>IF(D72&lt;=0,"💀 Depleted",IF(G72&lt;=0,"💀 Depleted",IF(G72&lt;C8,"⚠️ Warning","✅ Healthy")))</f>
        <v/>
      </c>
    </row>
    <row r="73" ht="16" customHeight="1">
      <c r="B73" s="114" t="n">
        <v>48</v>
      </c>
      <c r="C73" s="114">
        <f>C13+48</f>
        <v/>
      </c>
      <c r="D73" s="115">
        <f>G72</f>
        <v/>
      </c>
      <c r="E73" s="149">
        <f>C8*(1+C9)^47</f>
        <v/>
      </c>
      <c r="F73" s="116">
        <f>MAX(D73-E73,0)*C11</f>
        <v/>
      </c>
      <c r="G73" s="150">
        <f>MAX(D73-E73+F73,0)</f>
        <v/>
      </c>
      <c r="H73" s="151">
        <f>IF(D73&lt;=0,"💀 Depleted",IF(G73&lt;=0,"💀 Depleted",IF(G73&lt;C8,"⚠️ Warning","✅ Healthy")))</f>
        <v/>
      </c>
    </row>
    <row r="74" ht="16" customHeight="1">
      <c r="B74" s="108" t="n">
        <v>49</v>
      </c>
      <c r="C74" s="108">
        <f>C13+49</f>
        <v/>
      </c>
      <c r="D74" s="109">
        <f>G73</f>
        <v/>
      </c>
      <c r="E74" s="147">
        <f>C8*(1+C9)^48</f>
        <v/>
      </c>
      <c r="F74" s="110">
        <f>MAX(D74-E74,0)*C11</f>
        <v/>
      </c>
      <c r="G74" s="123">
        <f>MAX(D74-E74+F74,0)</f>
        <v/>
      </c>
      <c r="H74" s="148">
        <f>IF(D74&lt;=0,"💀 Depleted",IF(G74&lt;=0,"💀 Depleted",IF(G74&lt;C8,"⚠️ Warning","✅ Healthy")))</f>
        <v/>
      </c>
    </row>
    <row r="75" ht="16" customHeight="1">
      <c r="B75" s="114" t="n">
        <v>50</v>
      </c>
      <c r="C75" s="114">
        <f>C13+50</f>
        <v/>
      </c>
      <c r="D75" s="115">
        <f>G74</f>
        <v/>
      </c>
      <c r="E75" s="149">
        <f>C8*(1+C9)^49</f>
        <v/>
      </c>
      <c r="F75" s="116">
        <f>MAX(D75-E75,0)*C11</f>
        <v/>
      </c>
      <c r="G75" s="150">
        <f>MAX(D75-E75+F75,0)</f>
        <v/>
      </c>
      <c r="H75" s="151">
        <f>IF(D75&lt;=0,"💀 Depleted",IF(G75&lt;=0,"💀 Depleted",IF(G75&lt;C8,"⚠️ Warning","✅ Healthy")))</f>
        <v/>
      </c>
    </row>
  </sheetData>
  <mergeCells count="21">
    <mergeCell ref="B2:G2"/>
    <mergeCell ref="C6:D6"/>
    <mergeCell ref="C20:G20"/>
    <mergeCell ref="C10:D10"/>
    <mergeCell ref="C16:G16"/>
    <mergeCell ref="C9:D9"/>
    <mergeCell ref="C22:G22"/>
    <mergeCell ref="B15:G15"/>
    <mergeCell ref="B24:G24"/>
    <mergeCell ref="C12:D12"/>
    <mergeCell ref="C21:G21"/>
    <mergeCell ref="B5:D5"/>
    <mergeCell ref="C11:D11"/>
    <mergeCell ref="C8:D8"/>
    <mergeCell ref="C17:G17"/>
    <mergeCell ref="B3:G3"/>
    <mergeCell ref="C7:D7"/>
    <mergeCell ref="E5:G5"/>
    <mergeCell ref="C19:G19"/>
    <mergeCell ref="C13:D13"/>
    <mergeCell ref="C18:G18"/>
  </mergeCells>
  <conditionalFormatting sqref="C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26:G75">
    <cfRule type="cellIs" priority="3" operator="equal" dxfId="1">
      <formula>0</formula>
    </cfRule>
    <cfRule type="colorScale" priority="4">
      <colorScale>
        <cfvo type="num" val="1"/>
        <cfvo type="num" val="250000"/>
        <cfvo type="num" val="2000000"/>
        <color rgb="00B03A2E"/>
        <color rgb="00FEF9E7"/>
        <color rgb="001A7A4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2026-06-24T23:35:22Z</dcterms:created>
  <dcterms:modified xsi:type="dcterms:W3CDTF">2026-06-24T23:35:22Z</dcterms:modified>
</cp:coreProperties>
</file>